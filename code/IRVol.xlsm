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e\Google Drive\Final Project\Point A\"/>
    </mc:Choice>
  </mc:AlternateContent>
  <xr:revisionPtr revIDLastSave="0" documentId="8_{5E46E6B0-48A0-4A7D-AB35-F05ECE2A8250}" xr6:coauthVersionLast="43" xr6:coauthVersionMax="43" xr10:uidLastSave="{00000000-0000-0000-0000-000000000000}"/>
  <bookViews>
    <workbookView xWindow="-93" yWindow="-93" windowWidth="18426" windowHeight="11746" xr2:uid="{00000000-000D-0000-FFFF-FFFF00000000}"/>
  </bookViews>
  <sheets>
    <sheet name="Data" sheetId="4" r:id="rId1"/>
    <sheet name="BBG" sheetId="1" r:id="rId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3" i="1" l="1"/>
  <c r="C22" i="1"/>
  <c r="C64" i="1"/>
  <c r="C63" i="1"/>
  <c r="C62" i="1"/>
  <c r="C45" i="1"/>
  <c r="C44" i="1"/>
  <c r="C43" i="1"/>
  <c r="C26" i="1"/>
  <c r="C25" i="1"/>
  <c r="C24" i="1"/>
  <c r="C7" i="1"/>
  <c r="C6" i="1"/>
  <c r="C5" i="1"/>
  <c r="D2" i="1" l="1"/>
  <c r="C2" i="1"/>
  <c r="O94" i="1"/>
  <c r="O90" i="1"/>
  <c r="O86" i="1"/>
  <c r="O82" i="1"/>
  <c r="J24" i="1"/>
  <c r="S76" i="1"/>
  <c r="O76" i="1"/>
  <c r="K76" i="1"/>
  <c r="U75" i="1"/>
  <c r="Q75" i="1"/>
  <c r="M75" i="1"/>
  <c r="I75" i="1"/>
  <c r="S74" i="1"/>
  <c r="O74" i="1"/>
  <c r="K74" i="1"/>
  <c r="U73" i="1"/>
  <c r="Q73" i="1"/>
  <c r="M73" i="1"/>
  <c r="I73" i="1"/>
  <c r="S72" i="1"/>
  <c r="O72" i="1"/>
  <c r="K72" i="1"/>
  <c r="U71" i="1"/>
  <c r="Q71" i="1"/>
  <c r="M71" i="1"/>
  <c r="I71" i="1"/>
  <c r="S70" i="1"/>
  <c r="O70" i="1"/>
  <c r="K70" i="1"/>
  <c r="U69" i="1"/>
  <c r="Q69" i="1"/>
  <c r="M69" i="1"/>
  <c r="I69" i="1"/>
  <c r="S68" i="1"/>
  <c r="O68" i="1"/>
  <c r="K68" i="1"/>
  <c r="U67" i="1"/>
  <c r="Q67" i="1"/>
  <c r="M67" i="1"/>
  <c r="I67" i="1"/>
  <c r="S66" i="1"/>
  <c r="O66" i="1"/>
  <c r="K66" i="1"/>
  <c r="U65" i="1"/>
  <c r="Q65" i="1"/>
  <c r="M65" i="1"/>
  <c r="I65" i="1"/>
  <c r="S64" i="1"/>
  <c r="O64" i="1"/>
  <c r="K64" i="1"/>
  <c r="U63" i="1"/>
  <c r="Q63" i="1"/>
  <c r="M63" i="1"/>
  <c r="I63" i="1"/>
  <c r="S62" i="1"/>
  <c r="O62" i="1"/>
  <c r="K62" i="1"/>
  <c r="U61" i="1"/>
  <c r="Q61" i="1"/>
  <c r="M61" i="1"/>
  <c r="I61" i="1"/>
  <c r="S57" i="1"/>
  <c r="O57" i="1"/>
  <c r="K57" i="1"/>
  <c r="T56" i="1"/>
  <c r="P56" i="1"/>
  <c r="L56" i="1"/>
  <c r="U55" i="1"/>
  <c r="Q55" i="1"/>
  <c r="M55" i="1"/>
  <c r="V54" i="1"/>
  <c r="R54" i="1"/>
  <c r="N54" i="1"/>
  <c r="J54" i="1"/>
  <c r="S53" i="1"/>
  <c r="O53" i="1"/>
  <c r="K53" i="1"/>
  <c r="T52" i="1"/>
  <c r="P52" i="1"/>
  <c r="L52" i="1"/>
  <c r="U51" i="1"/>
  <c r="Q51" i="1"/>
  <c r="M51" i="1"/>
  <c r="V50" i="1"/>
  <c r="R50" i="1"/>
  <c r="N50" i="1"/>
  <c r="J50" i="1"/>
  <c r="S49" i="1"/>
  <c r="O49" i="1"/>
  <c r="K49" i="1"/>
  <c r="T48" i="1"/>
  <c r="O91" i="1"/>
  <c r="O87" i="1"/>
  <c r="O83" i="1"/>
  <c r="J23" i="1"/>
  <c r="T76" i="1"/>
  <c r="P76" i="1"/>
  <c r="L76" i="1"/>
  <c r="V75" i="1"/>
  <c r="R75" i="1"/>
  <c r="N75" i="1"/>
  <c r="J75" i="1"/>
  <c r="T74" i="1"/>
  <c r="P74" i="1"/>
  <c r="L74" i="1"/>
  <c r="V73" i="1"/>
  <c r="R73" i="1"/>
  <c r="N73" i="1"/>
  <c r="J73" i="1"/>
  <c r="T72" i="1"/>
  <c r="P72" i="1"/>
  <c r="L72" i="1"/>
  <c r="V71" i="1"/>
  <c r="R71" i="1"/>
  <c r="N71" i="1"/>
  <c r="J71" i="1"/>
  <c r="T70" i="1"/>
  <c r="P70" i="1"/>
  <c r="L70" i="1"/>
  <c r="V69" i="1"/>
  <c r="R69" i="1"/>
  <c r="N69" i="1"/>
  <c r="J69" i="1"/>
  <c r="T68" i="1"/>
  <c r="P68" i="1"/>
  <c r="L68" i="1"/>
  <c r="V67" i="1"/>
  <c r="R67" i="1"/>
  <c r="N67" i="1"/>
  <c r="J67" i="1"/>
  <c r="T66" i="1"/>
  <c r="P66" i="1"/>
  <c r="L66" i="1"/>
  <c r="V65" i="1"/>
  <c r="R65" i="1"/>
  <c r="N65" i="1"/>
  <c r="J65" i="1"/>
  <c r="T64" i="1"/>
  <c r="P64" i="1"/>
  <c r="L64" i="1"/>
  <c r="V63" i="1"/>
  <c r="R63" i="1"/>
  <c r="N63" i="1"/>
  <c r="J63" i="1"/>
  <c r="T62" i="1"/>
  <c r="P62" i="1"/>
  <c r="L62" i="1"/>
  <c r="V61" i="1"/>
  <c r="R61" i="1"/>
  <c r="N61" i="1"/>
  <c r="J61" i="1"/>
  <c r="T57" i="1"/>
  <c r="P57" i="1"/>
  <c r="L57" i="1"/>
  <c r="U56" i="1"/>
  <c r="Q56" i="1"/>
  <c r="M56" i="1"/>
  <c r="V55" i="1"/>
  <c r="R55" i="1"/>
  <c r="N55" i="1"/>
  <c r="J55" i="1"/>
  <c r="S54" i="1"/>
  <c r="O54" i="1"/>
  <c r="K54" i="1"/>
  <c r="T53" i="1"/>
  <c r="P53" i="1"/>
  <c r="L53" i="1"/>
  <c r="U52" i="1"/>
  <c r="Q52" i="1"/>
  <c r="M52" i="1"/>
  <c r="V51" i="1"/>
  <c r="R51" i="1"/>
  <c r="N51" i="1"/>
  <c r="J51" i="1"/>
  <c r="S50" i="1"/>
  <c r="O50" i="1"/>
  <c r="K50" i="1"/>
  <c r="T49" i="1"/>
  <c r="P49" i="1"/>
  <c r="L49" i="1"/>
  <c r="U48" i="1"/>
  <c r="Q48" i="1"/>
  <c r="M48" i="1"/>
  <c r="V47" i="1"/>
  <c r="R47" i="1"/>
  <c r="N47" i="1"/>
  <c r="J47" i="1"/>
  <c r="S46" i="1"/>
  <c r="O46" i="1"/>
  <c r="K46" i="1"/>
  <c r="T45" i="1"/>
  <c r="P45" i="1"/>
  <c r="L45" i="1"/>
  <c r="U44" i="1"/>
  <c r="Q44" i="1"/>
  <c r="M44" i="1"/>
  <c r="V43" i="1"/>
  <c r="R43" i="1"/>
  <c r="N43" i="1"/>
  <c r="J43" i="1"/>
  <c r="S42" i="1"/>
  <c r="O42" i="1"/>
  <c r="K42" i="1"/>
  <c r="I55" i="1"/>
  <c r="I51" i="1"/>
  <c r="I47" i="1"/>
  <c r="I43" i="1"/>
  <c r="U38" i="1"/>
  <c r="Q38" i="1"/>
  <c r="U37" i="1"/>
  <c r="Q37" i="1"/>
  <c r="U36" i="1"/>
  <c r="Q36" i="1"/>
  <c r="U35" i="1"/>
  <c r="Q35" i="1"/>
  <c r="U34" i="1"/>
  <c r="Q34" i="1"/>
  <c r="U33" i="1"/>
  <c r="Q33" i="1"/>
  <c r="V32" i="1"/>
  <c r="R32" i="1"/>
  <c r="V31" i="1"/>
  <c r="R31" i="1"/>
  <c r="V30" i="1"/>
  <c r="R30" i="1"/>
  <c r="V29" i="1"/>
  <c r="R29" i="1"/>
  <c r="V28" i="1"/>
  <c r="R28" i="1"/>
  <c r="V27" i="1"/>
  <c r="R27" i="1"/>
  <c r="V26" i="1"/>
  <c r="R26" i="1"/>
  <c r="V25" i="1"/>
  <c r="R25" i="1"/>
  <c r="V24" i="1"/>
  <c r="R24" i="1"/>
  <c r="V23" i="1"/>
  <c r="R23" i="1"/>
  <c r="O37" i="1"/>
  <c r="O33" i="1"/>
  <c r="O28" i="1"/>
  <c r="O24" i="1"/>
  <c r="J37" i="1"/>
  <c r="J33" i="1"/>
  <c r="J29" i="1"/>
  <c r="J25" i="1"/>
  <c r="K24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W19" i="1"/>
  <c r="S19" i="1"/>
  <c r="O19" i="1"/>
  <c r="K19" i="1"/>
  <c r="T18" i="1"/>
  <c r="P18" i="1"/>
  <c r="L18" i="1"/>
  <c r="U17" i="1"/>
  <c r="Q17" i="1"/>
  <c r="M17" i="1"/>
  <c r="V16" i="1"/>
  <c r="R16" i="1"/>
  <c r="N16" i="1"/>
  <c r="W15" i="1"/>
  <c r="S15" i="1"/>
  <c r="O15" i="1"/>
  <c r="K15" i="1"/>
  <c r="T14" i="1"/>
  <c r="P14" i="1"/>
  <c r="L14" i="1"/>
  <c r="U13" i="1"/>
  <c r="Q13" i="1"/>
  <c r="M13" i="1"/>
  <c r="V12" i="1"/>
  <c r="R12" i="1"/>
  <c r="N12" i="1"/>
  <c r="W11" i="1"/>
  <c r="S11" i="1"/>
  <c r="O11" i="1"/>
  <c r="K11" i="1"/>
  <c r="T10" i="1"/>
  <c r="P10" i="1"/>
  <c r="L10" i="1"/>
  <c r="U9" i="1"/>
  <c r="Q9" i="1"/>
  <c r="M9" i="1"/>
  <c r="V8" i="1"/>
  <c r="R8" i="1"/>
  <c r="N8" i="1"/>
  <c r="W7" i="1"/>
  <c r="S7" i="1"/>
  <c r="O7" i="1"/>
  <c r="K7" i="1"/>
  <c r="T6" i="1"/>
  <c r="P6" i="1"/>
  <c r="L6" i="1"/>
  <c r="U5" i="1"/>
  <c r="Q5" i="1"/>
  <c r="M5" i="1"/>
  <c r="V4" i="1"/>
  <c r="R4" i="1"/>
  <c r="N4" i="1"/>
  <c r="J19" i="1"/>
  <c r="J15" i="1"/>
  <c r="J11" i="1"/>
  <c r="J7" i="1"/>
  <c r="I19" i="1"/>
  <c r="I15" i="1"/>
  <c r="I11" i="1"/>
  <c r="I7" i="1"/>
  <c r="O92" i="1"/>
  <c r="O88" i="1"/>
  <c r="O84" i="1"/>
  <c r="O80" i="1"/>
  <c r="U76" i="1"/>
  <c r="Q76" i="1"/>
  <c r="M76" i="1"/>
  <c r="I76" i="1"/>
  <c r="S75" i="1"/>
  <c r="O75" i="1"/>
  <c r="K75" i="1"/>
  <c r="U74" i="1"/>
  <c r="Q74" i="1"/>
  <c r="M74" i="1"/>
  <c r="I74" i="1"/>
  <c r="S73" i="1"/>
  <c r="O73" i="1"/>
  <c r="K73" i="1"/>
  <c r="U72" i="1"/>
  <c r="Q72" i="1"/>
  <c r="M72" i="1"/>
  <c r="I72" i="1"/>
  <c r="S71" i="1"/>
  <c r="O71" i="1"/>
  <c r="K71" i="1"/>
  <c r="O81" i="1"/>
  <c r="J76" i="1"/>
  <c r="V74" i="1"/>
  <c r="T73" i="1"/>
  <c r="R72" i="1"/>
  <c r="P71" i="1"/>
  <c r="R70" i="1"/>
  <c r="J70" i="1"/>
  <c r="P69" i="1"/>
  <c r="V68" i="1"/>
  <c r="N68" i="1"/>
  <c r="T67" i="1"/>
  <c r="L67" i="1"/>
  <c r="R66" i="1"/>
  <c r="J66" i="1"/>
  <c r="P65" i="1"/>
  <c r="V64" i="1"/>
  <c r="N64" i="1"/>
  <c r="T63" i="1"/>
  <c r="L63" i="1"/>
  <c r="R62" i="1"/>
  <c r="J62" i="1"/>
  <c r="P61" i="1"/>
  <c r="V57" i="1"/>
  <c r="N57" i="1"/>
  <c r="S56" i="1"/>
  <c r="K56" i="1"/>
  <c r="P55" i="1"/>
  <c r="U54" i="1"/>
  <c r="M54" i="1"/>
  <c r="R53" i="1"/>
  <c r="J53" i="1"/>
  <c r="O52" i="1"/>
  <c r="T51" i="1"/>
  <c r="L51" i="1"/>
  <c r="Q50" i="1"/>
  <c r="V49" i="1"/>
  <c r="N49" i="1"/>
  <c r="S48" i="1"/>
  <c r="N48" i="1"/>
  <c r="U47" i="1"/>
  <c r="P47" i="1"/>
  <c r="K47" i="1"/>
  <c r="R46" i="1"/>
  <c r="M46" i="1"/>
  <c r="U45" i="1"/>
  <c r="O45" i="1"/>
  <c r="J45" i="1"/>
  <c r="R44" i="1"/>
  <c r="L44" i="1"/>
  <c r="T43" i="1"/>
  <c r="O43" i="1"/>
  <c r="V42" i="1"/>
  <c r="Q42" i="1"/>
  <c r="L42" i="1"/>
  <c r="I54" i="1"/>
  <c r="I49" i="1"/>
  <c r="I44" i="1"/>
  <c r="T38" i="1"/>
  <c r="W37" i="1"/>
  <c r="R37" i="1"/>
  <c r="T36" i="1"/>
  <c r="W35" i="1"/>
  <c r="R35" i="1"/>
  <c r="T34" i="1"/>
  <c r="W33" i="1"/>
  <c r="R33" i="1"/>
  <c r="U32" i="1"/>
  <c r="P32" i="1"/>
  <c r="S31" i="1"/>
  <c r="U30" i="1"/>
  <c r="P30" i="1"/>
  <c r="S29" i="1"/>
  <c r="U28" i="1"/>
  <c r="P28" i="1"/>
  <c r="S27" i="1"/>
  <c r="U26" i="1"/>
  <c r="P26" i="1"/>
  <c r="S25" i="1"/>
  <c r="U24" i="1"/>
  <c r="P24" i="1"/>
  <c r="S23" i="1"/>
  <c r="O36" i="1"/>
  <c r="O31" i="1"/>
  <c r="O25" i="1"/>
  <c r="J36" i="1"/>
  <c r="J31" i="1"/>
  <c r="J26" i="1"/>
  <c r="N38" i="1"/>
  <c r="M37" i="1"/>
  <c r="L36" i="1"/>
  <c r="N34" i="1"/>
  <c r="M33" i="1"/>
  <c r="L32" i="1"/>
  <c r="N30" i="1"/>
  <c r="M29" i="1"/>
  <c r="L28" i="1"/>
  <c r="N26" i="1"/>
  <c r="M25" i="1"/>
  <c r="L23" i="1"/>
  <c r="R19" i="1"/>
  <c r="M19" i="1"/>
  <c r="U18" i="1"/>
  <c r="O18" i="1"/>
  <c r="W17" i="1"/>
  <c r="R17" i="1"/>
  <c r="L17" i="1"/>
  <c r="T16" i="1"/>
  <c r="O16" i="1"/>
  <c r="V15" i="1"/>
  <c r="Q15" i="1"/>
  <c r="L15" i="1"/>
  <c r="S14" i="1"/>
  <c r="N14" i="1"/>
  <c r="V13" i="1"/>
  <c r="P13" i="1"/>
  <c r="K13" i="1"/>
  <c r="S12" i="1"/>
  <c r="M12" i="1"/>
  <c r="U11" i="1"/>
  <c r="P11" i="1"/>
  <c r="W10" i="1"/>
  <c r="R10" i="1"/>
  <c r="M10" i="1"/>
  <c r="T9" i="1"/>
  <c r="O9" i="1"/>
  <c r="W8" i="1"/>
  <c r="Q8" i="1"/>
  <c r="L8" i="1"/>
  <c r="T7" i="1"/>
  <c r="N7" i="1"/>
  <c r="V6" i="1"/>
  <c r="Q6" i="1"/>
  <c r="K6" i="1"/>
  <c r="S5" i="1"/>
  <c r="N5" i="1"/>
  <c r="U4" i="1"/>
  <c r="P4" i="1"/>
  <c r="K4" i="1"/>
  <c r="J14" i="1"/>
  <c r="J9" i="1"/>
  <c r="J4" i="1"/>
  <c r="I14" i="1"/>
  <c r="I9" i="1"/>
  <c r="I4" i="1"/>
  <c r="L55" i="1"/>
  <c r="S52" i="1"/>
  <c r="P51" i="1"/>
  <c r="M50" i="1"/>
  <c r="R49" i="1"/>
  <c r="P48" i="1"/>
  <c r="S47" i="1"/>
  <c r="U46" i="1"/>
  <c r="J46" i="1"/>
  <c r="M45" i="1"/>
  <c r="O44" i="1"/>
  <c r="Q43" i="1"/>
  <c r="T42" i="1"/>
  <c r="I57" i="1"/>
  <c r="I46" i="1"/>
  <c r="W38" i="1"/>
  <c r="T37" i="1"/>
  <c r="R36" i="1"/>
  <c r="W34" i="1"/>
  <c r="T33" i="1"/>
  <c r="S32" i="1"/>
  <c r="U31" i="1"/>
  <c r="S30" i="1"/>
  <c r="P29" i="1"/>
  <c r="U27" i="1"/>
  <c r="S26" i="1"/>
  <c r="P25" i="1"/>
  <c r="S24" i="1"/>
  <c r="P23" i="1"/>
  <c r="O27" i="1"/>
  <c r="J34" i="1"/>
  <c r="M24" i="1"/>
  <c r="N36" i="1"/>
  <c r="L34" i="1"/>
  <c r="M31" i="1"/>
  <c r="N28" i="1"/>
  <c r="L26" i="1"/>
  <c r="U19" i="1"/>
  <c r="W18" i="1"/>
  <c r="M18" i="1"/>
  <c r="O17" i="1"/>
  <c r="Q16" i="1"/>
  <c r="T15" i="1"/>
  <c r="V14" i="1"/>
  <c r="K14" i="1"/>
  <c r="N13" i="1"/>
  <c r="P12" i="1"/>
  <c r="R11" i="1"/>
  <c r="U10" i="1"/>
  <c r="O10" i="1"/>
  <c r="R9" i="1"/>
  <c r="T8" i="1"/>
  <c r="V7" i="1"/>
  <c r="L7" i="1"/>
  <c r="N6" i="1"/>
  <c r="P5" i="1"/>
  <c r="S4" i="1"/>
  <c r="J17" i="1"/>
  <c r="J6" i="1"/>
  <c r="I12" i="1"/>
  <c r="O93" i="1"/>
  <c r="V76" i="1"/>
  <c r="R74" i="1"/>
  <c r="N72" i="1"/>
  <c r="Q70" i="1"/>
  <c r="O69" i="1"/>
  <c r="M68" i="1"/>
  <c r="K67" i="1"/>
  <c r="I66" i="1"/>
  <c r="O65" i="1"/>
  <c r="M64" i="1"/>
  <c r="K63" i="1"/>
  <c r="I62" i="1"/>
  <c r="U57" i="1"/>
  <c r="R56" i="1"/>
  <c r="O55" i="1"/>
  <c r="L54" i="1"/>
  <c r="V52" i="1"/>
  <c r="S51" i="1"/>
  <c r="P50" i="1"/>
  <c r="M49" i="1"/>
  <c r="L48" i="1"/>
  <c r="O47" i="1"/>
  <c r="V46" i="1"/>
  <c r="L46" i="1"/>
  <c r="N45" i="1"/>
  <c r="P44" i="1"/>
  <c r="S43" i="1"/>
  <c r="U42" i="1"/>
  <c r="J42" i="1"/>
  <c r="I48" i="1"/>
  <c r="S38" i="1"/>
  <c r="P37" i="1"/>
  <c r="V35" i="1"/>
  <c r="S34" i="1"/>
  <c r="P33" i="1"/>
  <c r="W31" i="1"/>
  <c r="T30" i="1"/>
  <c r="Q29" i="1"/>
  <c r="W27" i="1"/>
  <c r="T26" i="1"/>
  <c r="Q25" i="1"/>
  <c r="W23" i="1"/>
  <c r="O35" i="1"/>
  <c r="O23" i="1"/>
  <c r="J30" i="1"/>
  <c r="M38" i="1"/>
  <c r="N35" i="1"/>
  <c r="L33" i="1"/>
  <c r="M30" i="1"/>
  <c r="N27" i="1"/>
  <c r="O85" i="1"/>
  <c r="N76" i="1"/>
  <c r="L75" i="1"/>
  <c r="J74" i="1"/>
  <c r="V72" i="1"/>
  <c r="T71" i="1"/>
  <c r="U70" i="1"/>
  <c r="M70" i="1"/>
  <c r="S69" i="1"/>
  <c r="K69" i="1"/>
  <c r="Q68" i="1"/>
  <c r="I68" i="1"/>
  <c r="O67" i="1"/>
  <c r="U66" i="1"/>
  <c r="M66" i="1"/>
  <c r="S65" i="1"/>
  <c r="K65" i="1"/>
  <c r="Q64" i="1"/>
  <c r="I64" i="1"/>
  <c r="O63" i="1"/>
  <c r="U62" i="1"/>
  <c r="M62" i="1"/>
  <c r="S61" i="1"/>
  <c r="K61" i="1"/>
  <c r="Q57" i="1"/>
  <c r="V56" i="1"/>
  <c r="N56" i="1"/>
  <c r="S55" i="1"/>
  <c r="K55" i="1"/>
  <c r="P54" i="1"/>
  <c r="U53" i="1"/>
  <c r="M53" i="1"/>
  <c r="R52" i="1"/>
  <c r="J52" i="1"/>
  <c r="O51" i="1"/>
  <c r="T50" i="1"/>
  <c r="L50" i="1"/>
  <c r="Q49" i="1"/>
  <c r="V48" i="1"/>
  <c r="O48" i="1"/>
  <c r="J48" i="1"/>
  <c r="Q47" i="1"/>
  <c r="L47" i="1"/>
  <c r="T46" i="1"/>
  <c r="N46" i="1"/>
  <c r="V45" i="1"/>
  <c r="Q45" i="1"/>
  <c r="K45" i="1"/>
  <c r="S44" i="1"/>
  <c r="N44" i="1"/>
  <c r="U43" i="1"/>
  <c r="P43" i="1"/>
  <c r="K43" i="1"/>
  <c r="R42" i="1"/>
  <c r="M42" i="1"/>
  <c r="I56" i="1"/>
  <c r="I50" i="1"/>
  <c r="I45" i="1"/>
  <c r="V38" i="1"/>
  <c r="P38" i="1"/>
  <c r="S37" i="1"/>
  <c r="V36" i="1"/>
  <c r="P36" i="1"/>
  <c r="S35" i="1"/>
  <c r="V34" i="1"/>
  <c r="P34" i="1"/>
  <c r="S33" i="1"/>
  <c r="W32" i="1"/>
  <c r="Q32" i="1"/>
  <c r="T31" i="1"/>
  <c r="W30" i="1"/>
  <c r="Q30" i="1"/>
  <c r="T29" i="1"/>
  <c r="W28" i="1"/>
  <c r="Q28" i="1"/>
  <c r="T27" i="1"/>
  <c r="W26" i="1"/>
  <c r="Q26" i="1"/>
  <c r="T25" i="1"/>
  <c r="W24" i="1"/>
  <c r="Q24" i="1"/>
  <c r="T23" i="1"/>
  <c r="O38" i="1"/>
  <c r="O32" i="1"/>
  <c r="O26" i="1"/>
  <c r="J38" i="1"/>
  <c r="J32" i="1"/>
  <c r="J27" i="1"/>
  <c r="L24" i="1"/>
  <c r="N37" i="1"/>
  <c r="M36" i="1"/>
  <c r="L35" i="1"/>
  <c r="N33" i="1"/>
  <c r="M32" i="1"/>
  <c r="L31" i="1"/>
  <c r="N29" i="1"/>
  <c r="M28" i="1"/>
  <c r="L27" i="1"/>
  <c r="N25" i="1"/>
  <c r="M23" i="1"/>
  <c r="T19" i="1"/>
  <c r="N19" i="1"/>
  <c r="V18" i="1"/>
  <c r="Q18" i="1"/>
  <c r="K18" i="1"/>
  <c r="S17" i="1"/>
  <c r="N17" i="1"/>
  <c r="U16" i="1"/>
  <c r="P16" i="1"/>
  <c r="K16" i="1"/>
  <c r="R15" i="1"/>
  <c r="M15" i="1"/>
  <c r="U14" i="1"/>
  <c r="O14" i="1"/>
  <c r="W13" i="1"/>
  <c r="R13" i="1"/>
  <c r="L13" i="1"/>
  <c r="T12" i="1"/>
  <c r="O12" i="1"/>
  <c r="V11" i="1"/>
  <c r="Q11" i="1"/>
  <c r="L11" i="1"/>
  <c r="S10" i="1"/>
  <c r="N10" i="1"/>
  <c r="V9" i="1"/>
  <c r="P9" i="1"/>
  <c r="K9" i="1"/>
  <c r="S8" i="1"/>
  <c r="M8" i="1"/>
  <c r="U7" i="1"/>
  <c r="P7" i="1"/>
  <c r="W6" i="1"/>
  <c r="R6" i="1"/>
  <c r="M6" i="1"/>
  <c r="T5" i="1"/>
  <c r="O5" i="1"/>
  <c r="W4" i="1"/>
  <c r="Q4" i="1"/>
  <c r="L4" i="1"/>
  <c r="J16" i="1"/>
  <c r="J10" i="1"/>
  <c r="J5" i="1"/>
  <c r="I16" i="1"/>
  <c r="I10" i="1"/>
  <c r="I5" i="1"/>
  <c r="O89" i="1"/>
  <c r="R76" i="1"/>
  <c r="P75" i="1"/>
  <c r="N74" i="1"/>
  <c r="L73" i="1"/>
  <c r="J72" i="1"/>
  <c r="V70" i="1"/>
  <c r="N70" i="1"/>
  <c r="T69" i="1"/>
  <c r="L69" i="1"/>
  <c r="R68" i="1"/>
  <c r="J68" i="1"/>
  <c r="P67" i="1"/>
  <c r="V66" i="1"/>
  <c r="N66" i="1"/>
  <c r="T65" i="1"/>
  <c r="L65" i="1"/>
  <c r="R64" i="1"/>
  <c r="J64" i="1"/>
  <c r="P63" i="1"/>
  <c r="V62" i="1"/>
  <c r="N62" i="1"/>
  <c r="T61" i="1"/>
  <c r="L61" i="1"/>
  <c r="R57" i="1"/>
  <c r="J57" i="1"/>
  <c r="O56" i="1"/>
  <c r="T55" i="1"/>
  <c r="Q54" i="1"/>
  <c r="V53" i="1"/>
  <c r="N53" i="1"/>
  <c r="K52" i="1"/>
  <c r="U50" i="1"/>
  <c r="J49" i="1"/>
  <c r="K48" i="1"/>
  <c r="M47" i="1"/>
  <c r="P46" i="1"/>
  <c r="R45" i="1"/>
  <c r="T44" i="1"/>
  <c r="J44" i="1"/>
  <c r="L43" i="1"/>
  <c r="N42" i="1"/>
  <c r="I52" i="1"/>
  <c r="R38" i="1"/>
  <c r="W36" i="1"/>
  <c r="T35" i="1"/>
  <c r="R34" i="1"/>
  <c r="O30" i="1"/>
  <c r="P31" i="1"/>
  <c r="U29" i="1"/>
  <c r="S28" i="1"/>
  <c r="P27" i="1"/>
  <c r="U25" i="1"/>
  <c r="U23" i="1"/>
  <c r="O34" i="1"/>
  <c r="K23" i="1"/>
  <c r="J28" i="1"/>
  <c r="L38" i="1"/>
  <c r="M35" i="1"/>
  <c r="N32" i="1"/>
  <c r="L30" i="1"/>
  <c r="M27" i="1"/>
  <c r="N23" i="1"/>
  <c r="P19" i="1"/>
  <c r="R18" i="1"/>
  <c r="T17" i="1"/>
  <c r="W16" i="1"/>
  <c r="L16" i="1"/>
  <c r="N15" i="1"/>
  <c r="Q14" i="1"/>
  <c r="S13" i="1"/>
  <c r="U12" i="1"/>
  <c r="K12" i="1"/>
  <c r="M11" i="1"/>
  <c r="W9" i="1"/>
  <c r="L9" i="1"/>
  <c r="O8" i="1"/>
  <c r="Q7" i="1"/>
  <c r="S6" i="1"/>
  <c r="V5" i="1"/>
  <c r="K5" i="1"/>
  <c r="M4" i="1"/>
  <c r="J12" i="1"/>
  <c r="I17" i="1"/>
  <c r="I6" i="1"/>
  <c r="T75" i="1"/>
  <c r="P73" i="1"/>
  <c r="L71" i="1"/>
  <c r="I70" i="1"/>
  <c r="U68" i="1"/>
  <c r="S67" i="1"/>
  <c r="Q66" i="1"/>
  <c r="U64" i="1"/>
  <c r="S63" i="1"/>
  <c r="Q62" i="1"/>
  <c r="O61" i="1"/>
  <c r="M57" i="1"/>
  <c r="J56" i="1"/>
  <c r="T54" i="1"/>
  <c r="Q53" i="1"/>
  <c r="N52" i="1"/>
  <c r="K51" i="1"/>
  <c r="U49" i="1"/>
  <c r="R48" i="1"/>
  <c r="T47" i="1"/>
  <c r="Q46" i="1"/>
  <c r="S45" i="1"/>
  <c r="V44" i="1"/>
  <c r="K44" i="1"/>
  <c r="M43" i="1"/>
  <c r="P42" i="1"/>
  <c r="I53" i="1"/>
  <c r="I42" i="1"/>
  <c r="V37" i="1"/>
  <c r="S36" i="1"/>
  <c r="P35" i="1"/>
  <c r="V33" i="1"/>
  <c r="T32" i="1"/>
  <c r="Q31" i="1"/>
  <c r="W29" i="1"/>
  <c r="T28" i="1"/>
  <c r="Q27" i="1"/>
  <c r="W25" i="1"/>
  <c r="T24" i="1"/>
  <c r="Q23" i="1"/>
  <c r="O29" i="1"/>
  <c r="J35" i="1"/>
  <c r="N24" i="1"/>
  <c r="L37" i="1"/>
  <c r="M34" i="1"/>
  <c r="N31" i="1"/>
  <c r="L29" i="1"/>
  <c r="M26" i="1"/>
  <c r="Q19" i="1"/>
  <c r="V17" i="1"/>
  <c r="M16" i="1"/>
  <c r="R14" i="1"/>
  <c r="W12" i="1"/>
  <c r="N11" i="1"/>
  <c r="S9" i="1"/>
  <c r="K8" i="1"/>
  <c r="O6" i="1"/>
  <c r="T4" i="1"/>
  <c r="J8" i="1"/>
  <c r="T13" i="1"/>
  <c r="Q10" i="1"/>
  <c r="M7" i="1"/>
  <c r="J18" i="1"/>
  <c r="L19" i="1"/>
  <c r="U15" i="1"/>
  <c r="Q12" i="1"/>
  <c r="N9" i="1"/>
  <c r="W5" i="1"/>
  <c r="O4" i="1"/>
  <c r="V19" i="1"/>
  <c r="N18" i="1"/>
  <c r="S16" i="1"/>
  <c r="W14" i="1"/>
  <c r="O13" i="1"/>
  <c r="T11" i="1"/>
  <c r="K10" i="1"/>
  <c r="P8" i="1"/>
  <c r="U6" i="1"/>
  <c r="L5" i="1"/>
  <c r="J13" i="1"/>
  <c r="I8" i="1"/>
  <c r="L25" i="1"/>
  <c r="S18" i="1"/>
  <c r="K17" i="1"/>
  <c r="P15" i="1"/>
  <c r="L12" i="1"/>
  <c r="U8" i="1"/>
  <c r="R5" i="1"/>
  <c r="I13" i="1"/>
  <c r="P17" i="1"/>
  <c r="M14" i="1"/>
  <c r="V10" i="1"/>
  <c r="R7" i="1"/>
  <c r="I18" i="1"/>
  <c r="J81" i="1"/>
  <c r="J84" i="1"/>
  <c r="J86" i="1"/>
  <c r="J80" i="1"/>
  <c r="J83" i="1"/>
  <c r="J82" i="1"/>
  <c r="S81" i="1"/>
  <c r="J88" i="1"/>
  <c r="S80" i="1"/>
  <c r="J85" i="1"/>
  <c r="J87" i="1"/>
  <c r="I37" i="1" l="1"/>
  <c r="I32" i="1"/>
  <c r="I27" i="1"/>
  <c r="I25" i="1"/>
  <c r="I36" i="1"/>
  <c r="I24" i="1"/>
  <c r="I29" i="1"/>
  <c r="I35" i="1"/>
  <c r="I31" i="1"/>
  <c r="I23" i="1"/>
  <c r="I28" i="1"/>
  <c r="I33" i="1"/>
  <c r="I26" i="1"/>
  <c r="I30" i="1"/>
  <c r="I34" i="1"/>
  <c r="I38" i="1"/>
</calcChain>
</file>

<file path=xl/sharedStrings.xml><?xml version="1.0" encoding="utf-8"?>
<sst xmlns="http://schemas.openxmlformats.org/spreadsheetml/2006/main" count="599" uniqueCount="130">
  <si>
    <t>expiry</t>
  </si>
  <si>
    <t>1M</t>
  </si>
  <si>
    <t>2M</t>
  </si>
  <si>
    <t>3M</t>
  </si>
  <si>
    <t>6M</t>
  </si>
  <si>
    <t>9M</t>
  </si>
  <si>
    <t>1Y</t>
  </si>
  <si>
    <t>2Y</t>
  </si>
  <si>
    <t>3Y</t>
  </si>
  <si>
    <t>Currency Code</t>
  </si>
  <si>
    <t>Today</t>
  </si>
  <si>
    <t>Source</t>
  </si>
  <si>
    <t>Currency</t>
  </si>
  <si>
    <t>EUR</t>
  </si>
  <si>
    <t>2W</t>
  </si>
  <si>
    <t>12M</t>
  </si>
  <si>
    <t>1W</t>
  </si>
  <si>
    <t>Conventions</t>
  </si>
  <si>
    <t>DayCount</t>
  </si>
  <si>
    <t>Act/360</t>
  </si>
  <si>
    <t>Spot Lag</t>
  </si>
  <si>
    <t>Swap Fig Leg Periodicity</t>
  </si>
  <si>
    <t>Annual</t>
  </si>
  <si>
    <t>Tenor</t>
  </si>
  <si>
    <t>SWAPS</t>
  </si>
  <si>
    <t>EUSA1 Curncy</t>
  </si>
  <si>
    <t>S/N</t>
  </si>
  <si>
    <t>EONIA Index</t>
  </si>
  <si>
    <t>EUSA2 Curncy</t>
  </si>
  <si>
    <t>EUR001W Curncy</t>
  </si>
  <si>
    <t>EUSA3 Curncy</t>
  </si>
  <si>
    <t>EUR002W Curncy</t>
  </si>
  <si>
    <t>4Y</t>
  </si>
  <si>
    <t>EUSA4 Curncy</t>
  </si>
  <si>
    <t>EUR001M Curncy</t>
  </si>
  <si>
    <t>5Y</t>
  </si>
  <si>
    <t>EUSA5 Curncy</t>
  </si>
  <si>
    <t>EUR002M Curncy</t>
  </si>
  <si>
    <t>6Y</t>
  </si>
  <si>
    <t>EUSA6 Curncy</t>
  </si>
  <si>
    <t>EUR003M Curncy</t>
  </si>
  <si>
    <t>7Y</t>
  </si>
  <si>
    <t>EUSA7 Curncy</t>
  </si>
  <si>
    <t>EUR006M Curncy</t>
  </si>
  <si>
    <t>8Y</t>
  </si>
  <si>
    <t>EUSA8 Curncy</t>
  </si>
  <si>
    <t>EUR009M Curncy</t>
  </si>
  <si>
    <t>9Y</t>
  </si>
  <si>
    <t>EUSA9 Curncy</t>
  </si>
  <si>
    <t>EUR012M Curncy</t>
  </si>
  <si>
    <t>10Y</t>
  </si>
  <si>
    <t>EUSA10 Curncy</t>
  </si>
  <si>
    <t>12y</t>
  </si>
  <si>
    <t>EUSA12 Curncy</t>
  </si>
  <si>
    <t>15y</t>
  </si>
  <si>
    <t>EUSA15 Curncy</t>
  </si>
  <si>
    <t>20y</t>
  </si>
  <si>
    <t>EUSA20 Curncy</t>
  </si>
  <si>
    <t>25y</t>
  </si>
  <si>
    <t>EUSA25 Curncy</t>
  </si>
  <si>
    <t>30y</t>
  </si>
  <si>
    <t>EUSA30 Curncy</t>
  </si>
  <si>
    <t>EUR Curve</t>
  </si>
  <si>
    <t>DEPOS</t>
  </si>
  <si>
    <t>07/04/2016</t>
  </si>
  <si>
    <t>08/04/2016</t>
  </si>
  <si>
    <t>Last Update EONIA</t>
  </si>
  <si>
    <t>Last Update Euribor</t>
  </si>
  <si>
    <t>18M</t>
  </si>
  <si>
    <t>01</t>
  </si>
  <si>
    <t>1F</t>
  </si>
  <si>
    <t>02</t>
  </si>
  <si>
    <t>03</t>
  </si>
  <si>
    <t>04</t>
  </si>
  <si>
    <t>ICPL</t>
  </si>
  <si>
    <t>EUZV</t>
  </si>
  <si>
    <t>S</t>
  </si>
  <si>
    <t>LAST_PRICE</t>
  </si>
  <si>
    <t>AM</t>
  </si>
  <si>
    <t>05</t>
  </si>
  <si>
    <t>06</t>
  </si>
  <si>
    <t>07</t>
  </si>
  <si>
    <t>08</t>
  </si>
  <si>
    <t>09</t>
  </si>
  <si>
    <t>10</t>
  </si>
  <si>
    <t>12</t>
  </si>
  <si>
    <t>15</t>
  </si>
  <si>
    <t>20</t>
  </si>
  <si>
    <t>25</t>
  </si>
  <si>
    <t>30</t>
  </si>
  <si>
    <t>0.00</t>
  </si>
  <si>
    <t>00</t>
  </si>
  <si>
    <t>0.25</t>
  </si>
  <si>
    <t>0.50</t>
  </si>
  <si>
    <t>1.00</t>
  </si>
  <si>
    <t>1.50</t>
  </si>
  <si>
    <t>2.00</t>
  </si>
  <si>
    <t>3.00</t>
  </si>
  <si>
    <t>5.00</t>
  </si>
  <si>
    <t>10.00</t>
  </si>
  <si>
    <t>0A</t>
  </si>
  <si>
    <t>0B</t>
  </si>
  <si>
    <t>1B</t>
  </si>
  <si>
    <t>0J</t>
  </si>
  <si>
    <t>12Y</t>
  </si>
  <si>
    <t>15Y</t>
  </si>
  <si>
    <t>20Y</t>
  </si>
  <si>
    <t>25Y</t>
  </si>
  <si>
    <t>30Y</t>
  </si>
  <si>
    <t>strike</t>
  </si>
  <si>
    <t>Type</t>
  </si>
  <si>
    <t>Shifted Lognormal</t>
  </si>
  <si>
    <t>Parameter (shift)</t>
  </si>
  <si>
    <t>Normal</t>
  </si>
  <si>
    <t>Parameter</t>
  </si>
  <si>
    <t>EU0Z</t>
  </si>
  <si>
    <t>0F</t>
  </si>
  <si>
    <t>EUNZ</t>
  </si>
  <si>
    <t>A</t>
  </si>
  <si>
    <t>EUN</t>
  </si>
  <si>
    <t>O</t>
  </si>
  <si>
    <t>EUSB</t>
  </si>
  <si>
    <t>0C</t>
  </si>
  <si>
    <t>CAPFLOOR</t>
  </si>
  <si>
    <t>SWAPTION</t>
  </si>
  <si>
    <t>in cap/floors</t>
  </si>
  <si>
    <t>SWAPTION SHIFTS</t>
  </si>
  <si>
    <t>see table below</t>
  </si>
  <si>
    <t>EUZS</t>
  </si>
  <si>
    <t>ATM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</si>
</sst>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409]d\-mmm\-yy;@"/>
    <numFmt numFmtId="165" formatCode="h:mm:ss;@"/>
    <numFmt numFmtId="166" formatCode="_(* #,##0_);_(* \(#,##0\);_(* &quot;-&quot;??_);_(@_)"/>
    <numFmt numFmtId="167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gradientFill>
        <stop position="0">
          <color theme="3" tint="0.59999389629810485"/>
        </stop>
        <stop position="0.5">
          <color theme="4" tint="0.80001220740379042"/>
        </stop>
        <stop position="1">
          <color theme="3" tint="0.59999389629810485"/>
        </stop>
      </gradient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9"/>
      </right>
      <top style="thin">
        <color indexed="8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theme="0"/>
      </left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9"/>
      </left>
      <right style="thin">
        <color indexed="64"/>
      </right>
      <top style="thin">
        <color indexed="8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8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theme="0"/>
      </bottom>
      <diagonal/>
    </border>
    <border>
      <left style="thin">
        <color indexed="8"/>
      </left>
      <right/>
      <top/>
      <bottom style="thin">
        <color indexed="9"/>
      </bottom>
      <diagonal/>
    </border>
    <border>
      <left style="thin">
        <color indexed="8"/>
      </left>
      <right/>
      <top style="thin">
        <color indexed="9"/>
      </top>
      <bottom style="thin">
        <color indexed="9"/>
      </bottom>
      <diagonal/>
    </border>
    <border>
      <left style="thin">
        <color indexed="8"/>
      </left>
      <right/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8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indexed="9"/>
      </bottom>
      <diagonal/>
    </border>
    <border>
      <left style="thin">
        <color theme="0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theme="0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8"/>
      </top>
      <bottom style="thin">
        <color indexed="9"/>
      </bottom>
      <diagonal/>
    </border>
    <border>
      <left/>
      <right style="thin">
        <color indexed="64"/>
      </right>
      <top/>
      <bottom style="thin">
        <color indexed="9"/>
      </bottom>
      <diagonal/>
    </border>
    <border>
      <left style="thin">
        <color theme="0"/>
      </left>
      <right/>
      <top style="thin">
        <color indexed="8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indexed="9"/>
      </bottom>
      <diagonal/>
    </border>
    <border>
      <left style="thin">
        <color theme="0"/>
      </left>
      <right/>
      <top style="thin">
        <color indexed="9"/>
      </top>
      <bottom style="thin">
        <color indexed="9"/>
      </bottom>
      <diagonal/>
    </border>
    <border>
      <left style="thin">
        <color theme="0"/>
      </left>
      <right/>
      <top style="thin">
        <color indexed="9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2" borderId="0" xfId="0" applyFill="1"/>
    <xf numFmtId="164" fontId="2" fillId="4" borderId="1" xfId="0" applyNumberFormat="1" applyFont="1" applyFill="1" applyBorder="1" applyAlignment="1">
      <alignment horizontal="left" vertical="top" indent="1"/>
    </xf>
    <xf numFmtId="0" fontId="4" fillId="6" borderId="8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164" fontId="2" fillId="4" borderId="14" xfId="0" applyNumberFormat="1" applyFont="1" applyFill="1" applyBorder="1" applyAlignment="1">
      <alignment horizontal="left" vertical="top" indent="1"/>
    </xf>
    <xf numFmtId="165" fontId="2" fillId="4" borderId="15" xfId="0" applyNumberFormat="1" applyFont="1" applyFill="1" applyBorder="1" applyAlignment="1">
      <alignment horizontal="left" vertical="top" indent="1"/>
    </xf>
    <xf numFmtId="0" fontId="4" fillId="6" borderId="16" xfId="0" applyFont="1" applyFill="1" applyBorder="1" applyAlignment="1">
      <alignment horizontal="center" vertical="center"/>
    </xf>
    <xf numFmtId="166" fontId="2" fillId="4" borderId="7" xfId="1" applyNumberFormat="1" applyFont="1" applyFill="1" applyBorder="1" applyAlignment="1">
      <alignment horizontal="left" vertical="top" indent="1"/>
    </xf>
    <xf numFmtId="0" fontId="0" fillId="2" borderId="0" xfId="0" applyFill="1" applyAlignment="1">
      <alignment horizontal="center"/>
    </xf>
    <xf numFmtId="0" fontId="4" fillId="6" borderId="20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center" vertical="top"/>
    </xf>
    <xf numFmtId="0" fontId="3" fillId="7" borderId="23" xfId="0" applyFont="1" applyFill="1" applyBorder="1" applyAlignment="1">
      <alignment horizontal="center" vertical="top"/>
    </xf>
    <xf numFmtId="0" fontId="3" fillId="8" borderId="24" xfId="0" applyFont="1" applyFill="1" applyBorder="1" applyAlignment="1">
      <alignment horizontal="center" vertical="top"/>
    </xf>
    <xf numFmtId="0" fontId="3" fillId="7" borderId="24" xfId="0" applyFont="1" applyFill="1" applyBorder="1" applyAlignment="1">
      <alignment horizontal="center" vertical="top"/>
    </xf>
    <xf numFmtId="0" fontId="3" fillId="8" borderId="25" xfId="0" applyFont="1" applyFill="1" applyBorder="1" applyAlignment="1">
      <alignment horizontal="center" vertical="top"/>
    </xf>
    <xf numFmtId="0" fontId="4" fillId="6" borderId="26" xfId="0" applyFont="1" applyFill="1" applyBorder="1" applyAlignment="1">
      <alignment horizontal="center" vertical="center"/>
    </xf>
    <xf numFmtId="164" fontId="0" fillId="2" borderId="0" xfId="0" applyNumberFormat="1" applyFill="1" applyAlignment="1">
      <alignment horizontal="right"/>
    </xf>
    <xf numFmtId="0" fontId="3" fillId="5" borderId="1" xfId="0" applyFont="1" applyFill="1" applyBorder="1" applyAlignment="1">
      <alignment horizontal="left" vertical="center" indent="1"/>
    </xf>
    <xf numFmtId="0" fontId="0" fillId="3" borderId="1" xfId="0" applyFill="1" applyBorder="1" applyAlignment="1">
      <alignment horizontal="left" vertical="center" indent="1"/>
    </xf>
    <xf numFmtId="0" fontId="3" fillId="5" borderId="6" xfId="0" applyFont="1" applyFill="1" applyBorder="1" applyAlignment="1">
      <alignment horizontal="left" vertical="center" indent="1"/>
    </xf>
    <xf numFmtId="0" fontId="4" fillId="6" borderId="31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top"/>
    </xf>
    <xf numFmtId="0" fontId="3" fillId="7" borderId="33" xfId="0" applyFont="1" applyFill="1" applyBorder="1" applyAlignment="1">
      <alignment horizontal="center" vertical="top"/>
    </xf>
    <xf numFmtId="0" fontId="3" fillId="8" borderId="34" xfId="0" applyFont="1" applyFill="1" applyBorder="1" applyAlignment="1">
      <alignment horizontal="center" vertical="top"/>
    </xf>
    <xf numFmtId="0" fontId="3" fillId="7" borderId="34" xfId="0" applyFont="1" applyFill="1" applyBorder="1" applyAlignment="1">
      <alignment horizontal="center" vertical="top"/>
    </xf>
    <xf numFmtId="0" fontId="3" fillId="8" borderId="35" xfId="0" applyFont="1" applyFill="1" applyBorder="1" applyAlignment="1">
      <alignment horizontal="center" vertical="top"/>
    </xf>
    <xf numFmtId="0" fontId="2" fillId="4" borderId="36" xfId="0" applyFont="1" applyFill="1" applyBorder="1" applyAlignment="1">
      <alignment horizontal="center" vertical="top"/>
    </xf>
    <xf numFmtId="0" fontId="2" fillId="4" borderId="37" xfId="0" applyFont="1" applyFill="1" applyBorder="1" applyAlignment="1">
      <alignment horizontal="center" vertical="top"/>
    </xf>
    <xf numFmtId="0" fontId="4" fillId="6" borderId="27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30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167" fontId="3" fillId="7" borderId="10" xfId="0" applyNumberFormat="1" applyFont="1" applyFill="1" applyBorder="1" applyAlignment="1">
      <alignment horizontal="center" vertical="top"/>
    </xf>
    <xf numFmtId="167" fontId="3" fillId="8" borderId="10" xfId="1" applyNumberFormat="1" applyFont="1" applyFill="1" applyBorder="1" applyAlignment="1">
      <alignment horizontal="center" vertical="top"/>
    </xf>
    <xf numFmtId="167" fontId="3" fillId="7" borderId="18" xfId="0" applyNumberFormat="1" applyFont="1" applyFill="1" applyBorder="1" applyAlignment="1">
      <alignment horizontal="center" vertical="top"/>
    </xf>
    <xf numFmtId="167" fontId="3" fillId="7" borderId="10" xfId="1" applyNumberFormat="1" applyFont="1" applyFill="1" applyBorder="1" applyAlignment="1">
      <alignment horizontal="center" vertical="top"/>
    </xf>
    <xf numFmtId="167" fontId="3" fillId="8" borderId="11" xfId="1" applyNumberFormat="1" applyFont="1" applyFill="1" applyBorder="1" applyAlignment="1">
      <alignment horizontal="center" vertical="top"/>
    </xf>
    <xf numFmtId="2" fontId="3" fillId="7" borderId="17" xfId="0" applyNumberFormat="1" applyFont="1" applyFill="1" applyBorder="1" applyAlignment="1">
      <alignment horizontal="center" vertical="top"/>
    </xf>
    <xf numFmtId="2" fontId="3" fillId="7" borderId="10" xfId="0" applyNumberFormat="1" applyFont="1" applyFill="1" applyBorder="1" applyAlignment="1">
      <alignment horizontal="center" vertical="top"/>
    </xf>
    <xf numFmtId="2" fontId="3" fillId="8" borderId="18" xfId="0" applyNumberFormat="1" applyFont="1" applyFill="1" applyBorder="1" applyAlignment="1">
      <alignment horizontal="center" vertical="top"/>
    </xf>
    <xf numFmtId="2" fontId="3" fillId="8" borderId="10" xfId="1" applyNumberFormat="1" applyFont="1" applyFill="1" applyBorder="1" applyAlignment="1">
      <alignment horizontal="center" vertical="top"/>
    </xf>
    <xf numFmtId="2" fontId="3" fillId="7" borderId="18" xfId="0" applyNumberFormat="1" applyFont="1" applyFill="1" applyBorder="1" applyAlignment="1">
      <alignment horizontal="center" vertical="top"/>
    </xf>
    <xf numFmtId="2" fontId="3" fillId="7" borderId="10" xfId="1" applyNumberFormat="1" applyFont="1" applyFill="1" applyBorder="1" applyAlignment="1">
      <alignment horizontal="center" vertical="top"/>
    </xf>
    <xf numFmtId="2" fontId="3" fillId="8" borderId="19" xfId="0" applyNumberFormat="1" applyFont="1" applyFill="1" applyBorder="1" applyAlignment="1">
      <alignment horizontal="center" vertical="top"/>
    </xf>
    <xf numFmtId="2" fontId="3" fillId="8" borderId="11" xfId="1" applyNumberFormat="1" applyFont="1" applyFill="1" applyBorder="1" applyAlignment="1">
      <alignment horizontal="center" vertical="top"/>
    </xf>
    <xf numFmtId="2" fontId="3" fillId="7" borderId="27" xfId="0" applyNumberFormat="1" applyFont="1" applyFill="1" applyBorder="1" applyAlignment="1">
      <alignment horizontal="center" vertical="top"/>
    </xf>
    <xf numFmtId="2" fontId="3" fillId="8" borderId="28" xfId="0" applyNumberFormat="1" applyFont="1" applyFill="1" applyBorder="1" applyAlignment="1">
      <alignment horizontal="center" vertical="top"/>
    </xf>
    <xf numFmtId="2" fontId="3" fillId="7" borderId="28" xfId="0" applyNumberFormat="1" applyFont="1" applyFill="1" applyBorder="1" applyAlignment="1">
      <alignment horizontal="center" vertical="top"/>
    </xf>
    <xf numFmtId="2" fontId="3" fillId="8" borderId="29" xfId="0" applyNumberFormat="1" applyFont="1" applyFill="1" applyBorder="1" applyAlignment="1">
      <alignment horizontal="center" vertical="top"/>
    </xf>
    <xf numFmtId="0" fontId="0" fillId="3" borderId="38" xfId="0" applyFill="1" applyBorder="1" applyAlignment="1">
      <alignment horizontal="left" vertical="center" indent="1"/>
    </xf>
    <xf numFmtId="0" fontId="3" fillId="5" borderId="41" xfId="0" applyFont="1" applyFill="1" applyBorder="1" applyAlignment="1">
      <alignment horizontal="left" vertical="center" indent="1"/>
    </xf>
    <xf numFmtId="0" fontId="2" fillId="4" borderId="43" xfId="0" applyFont="1" applyFill="1" applyBorder="1" applyAlignment="1">
      <alignment horizontal="left" vertical="top" indent="1"/>
    </xf>
    <xf numFmtId="0" fontId="3" fillId="5" borderId="38" xfId="0" applyFont="1" applyFill="1" applyBorder="1" applyAlignment="1">
      <alignment horizontal="left" vertical="center" indent="1"/>
    </xf>
    <xf numFmtId="9" fontId="2" fillId="4" borderId="6" xfId="0" applyNumberFormat="1" applyFont="1" applyFill="1" applyBorder="1" applyAlignment="1">
      <alignment horizontal="left" vertical="top" indent="1"/>
    </xf>
    <xf numFmtId="0" fontId="4" fillId="6" borderId="30" xfId="0" quotePrefix="1" applyFont="1" applyFill="1" applyBorder="1" applyAlignment="1">
      <alignment horizontal="center" vertical="center"/>
    </xf>
    <xf numFmtId="167" fontId="3" fillId="8" borderId="18" xfId="1" applyNumberFormat="1" applyFont="1" applyFill="1" applyBorder="1" applyAlignment="1">
      <alignment horizontal="center" vertical="top"/>
    </xf>
    <xf numFmtId="167" fontId="3" fillId="7" borderId="18" xfId="1" applyNumberFormat="1" applyFont="1" applyFill="1" applyBorder="1" applyAlignment="1">
      <alignment horizontal="center" vertical="top"/>
    </xf>
    <xf numFmtId="167" fontId="3" fillId="8" borderId="19" xfId="1" applyNumberFormat="1" applyFont="1" applyFill="1" applyBorder="1" applyAlignment="1">
      <alignment horizontal="center" vertical="top"/>
    </xf>
    <xf numFmtId="0" fontId="4" fillId="6" borderId="17" xfId="0" quotePrefix="1" applyFont="1" applyFill="1" applyBorder="1" applyAlignment="1">
      <alignment horizontal="center" vertical="center"/>
    </xf>
    <xf numFmtId="0" fontId="2" fillId="4" borderId="38" xfId="0" applyFont="1" applyFill="1" applyBorder="1" applyAlignment="1">
      <alignment horizontal="left" vertical="top" indent="1"/>
    </xf>
    <xf numFmtId="0" fontId="2" fillId="4" borderId="40" xfId="0" applyFont="1" applyFill="1" applyBorder="1" applyAlignment="1">
      <alignment horizontal="left" vertical="top" indent="1"/>
    </xf>
    <xf numFmtId="0" fontId="2" fillId="4" borderId="41" xfId="0" applyFont="1" applyFill="1" applyBorder="1" applyAlignment="1">
      <alignment horizontal="left" vertical="top" indent="1"/>
    </xf>
    <xf numFmtId="0" fontId="2" fillId="4" borderId="42" xfId="0" applyFont="1" applyFill="1" applyBorder="1" applyAlignment="1">
      <alignment horizontal="left" vertical="top" indent="1"/>
    </xf>
    <xf numFmtId="0" fontId="4" fillId="6" borderId="27" xfId="0" quotePrefix="1" applyFont="1" applyFill="1" applyBorder="1" applyAlignment="1">
      <alignment horizontal="center" vertical="center"/>
    </xf>
    <xf numFmtId="0" fontId="4" fillId="6" borderId="9" xfId="0" quotePrefix="1" applyFont="1" applyFill="1" applyBorder="1" applyAlignment="1">
      <alignment horizontal="center" vertical="center"/>
    </xf>
    <xf numFmtId="0" fontId="4" fillId="6" borderId="44" xfId="0" applyFont="1" applyFill="1" applyBorder="1" applyAlignment="1">
      <alignment horizontal="center" vertical="center"/>
    </xf>
    <xf numFmtId="0" fontId="4" fillId="6" borderId="45" xfId="0" applyFont="1" applyFill="1" applyBorder="1" applyAlignment="1">
      <alignment horizontal="center" vertical="center"/>
    </xf>
    <xf numFmtId="2" fontId="3" fillId="8" borderId="18" xfId="1" applyNumberFormat="1" applyFont="1" applyFill="1" applyBorder="1" applyAlignment="1">
      <alignment horizontal="center" vertical="top"/>
    </xf>
    <xf numFmtId="2" fontId="3" fillId="7" borderId="18" xfId="1" applyNumberFormat="1" applyFont="1" applyFill="1" applyBorder="1" applyAlignment="1">
      <alignment horizontal="center" vertical="top"/>
    </xf>
    <xf numFmtId="2" fontId="3" fillId="8" borderId="19" xfId="1" applyNumberFormat="1" applyFont="1" applyFill="1" applyBorder="1" applyAlignment="1">
      <alignment horizontal="center" vertical="top"/>
    </xf>
    <xf numFmtId="0" fontId="2" fillId="5" borderId="39" xfId="0" applyFont="1" applyFill="1" applyBorder="1" applyAlignment="1">
      <alignment horizontal="left" vertical="center" indent="1"/>
    </xf>
    <xf numFmtId="0" fontId="2" fillId="4" borderId="46" xfId="0" applyFont="1" applyFill="1" applyBorder="1" applyAlignment="1">
      <alignment horizontal="center" vertical="top"/>
    </xf>
    <xf numFmtId="0" fontId="2" fillId="4" borderId="47" xfId="0" applyFont="1" applyFill="1" applyBorder="1" applyAlignment="1">
      <alignment horizontal="center" vertical="top"/>
    </xf>
    <xf numFmtId="0" fontId="3" fillId="7" borderId="48" xfId="0" applyFont="1" applyFill="1" applyBorder="1" applyAlignment="1">
      <alignment horizontal="center" vertical="top"/>
    </xf>
    <xf numFmtId="0" fontId="3" fillId="8" borderId="49" xfId="0" applyFont="1" applyFill="1" applyBorder="1" applyAlignment="1">
      <alignment horizontal="center" vertical="top"/>
    </xf>
    <xf numFmtId="0" fontId="3" fillId="7" borderId="49" xfId="0" applyFont="1" applyFill="1" applyBorder="1" applyAlignment="1">
      <alignment horizontal="center" vertical="top"/>
    </xf>
    <xf numFmtId="0" fontId="3" fillId="8" borderId="50" xfId="0" applyFont="1" applyFill="1" applyBorder="1" applyAlignment="1">
      <alignment horizontal="center" vertical="top"/>
    </xf>
    <xf numFmtId="2" fontId="4" fillId="6" borderId="13" xfId="0" applyNumberFormat="1" applyFont="1" applyFill="1" applyBorder="1" applyAlignment="1">
      <alignment horizontal="center" vertical="center"/>
    </xf>
    <xf numFmtId="2" fontId="4" fillId="6" borderId="12" xfId="0" applyNumberFormat="1" applyFont="1" applyFill="1" applyBorder="1" applyAlignment="1">
      <alignment horizontal="center" vertical="center"/>
    </xf>
    <xf numFmtId="2" fontId="4" fillId="6" borderId="16" xfId="0" applyNumberFormat="1" applyFont="1" applyFill="1" applyBorder="1" applyAlignment="1">
      <alignment horizontal="center" vertical="center"/>
    </xf>
    <xf numFmtId="9" fontId="2" fillId="4" borderId="6" xfId="0" applyNumberFormat="1" applyFont="1" applyFill="1" applyBorder="1" applyAlignment="1">
      <alignment horizontal="left" vertical="top" indent="1"/>
    </xf>
    <xf numFmtId="0" fontId="2" fillId="4" borderId="43" xfId="0" applyFont="1" applyFill="1" applyBorder="1" applyAlignment="1">
      <alignment horizontal="left" vertical="top" indent="1"/>
    </xf>
    <xf numFmtId="0" fontId="2" fillId="4" borderId="38" xfId="0" applyFont="1" applyFill="1" applyBorder="1" applyAlignment="1">
      <alignment horizontal="left" vertical="top" indent="1"/>
    </xf>
    <xf numFmtId="0" fontId="2" fillId="4" borderId="40" xfId="0" applyFont="1" applyFill="1" applyBorder="1" applyAlignment="1">
      <alignment horizontal="left" vertical="top" indent="1"/>
    </xf>
    <xf numFmtId="0" fontId="2" fillId="4" borderId="4" xfId="0" applyFont="1" applyFill="1" applyBorder="1" applyAlignment="1">
      <alignment horizontal="left" vertical="top" indent="1"/>
    </xf>
    <xf numFmtId="0" fontId="2" fillId="4" borderId="5" xfId="0" applyFont="1" applyFill="1" applyBorder="1" applyAlignment="1">
      <alignment horizontal="left" vertical="top" indent="1"/>
    </xf>
    <xf numFmtId="0" fontId="2" fillId="4" borderId="41" xfId="0" applyFont="1" applyFill="1" applyBorder="1" applyAlignment="1">
      <alignment horizontal="left" vertical="top" indent="1"/>
    </xf>
    <xf numFmtId="0" fontId="2" fillId="4" borderId="42" xfId="0" applyFont="1" applyFill="1" applyBorder="1" applyAlignment="1">
      <alignment horizontal="left" vertical="top" indent="1"/>
    </xf>
    <xf numFmtId="0" fontId="2" fillId="4" borderId="2" xfId="0" applyFont="1" applyFill="1" applyBorder="1" applyAlignment="1">
      <alignment horizontal="left" vertical="top" indent="1"/>
    </xf>
    <xf numFmtId="0" fontId="2" fillId="4" borderId="3" xfId="0" applyFont="1" applyFill="1" applyBorder="1" applyAlignment="1">
      <alignment horizontal="left" vertical="top" indent="1"/>
    </xf>
    <xf numFmtId="9" fontId="2" fillId="4" borderId="6" xfId="2" applyFont="1" applyFill="1" applyBorder="1" applyAlignment="1">
      <alignment horizontal="left" vertical="top" indent="1"/>
    </xf>
    <xf numFmtId="9" fontId="2" fillId="4" borderId="43" xfId="2" applyFont="1" applyFill="1" applyBorder="1" applyAlignment="1">
      <alignment horizontal="left" vertical="top" indent="1"/>
    </xf>
  </cellXfs>
  <cellStyles count="3"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95251</xdr:colOff>
      <xdr:row>9</xdr:row>
      <xdr:rowOff>83532</xdr:rowOff>
    </xdr:from>
    <xdr:to>
      <xdr:col>3</xdr:col>
      <xdr:colOff>638176</xdr:colOff>
      <xdr:row>15</xdr:row>
      <xdr:rowOff>52385</xdr:rowOff>
    </xdr:to>
    <xdr:pic>
      <xdr:nvPicPr>
        <xdr:cNvPr id="3" name="Immagine 2" descr="RONDPOINTde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1" y="1798032"/>
          <a:ext cx="2876550" cy="11118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15</xdr:row>
          <xdr:rowOff>50800</xdr:rowOff>
        </xdr:from>
        <xdr:to>
          <xdr:col>4</xdr:col>
          <xdr:colOff>4233</xdr:colOff>
          <xdr:row>17</xdr:row>
          <xdr:rowOff>80433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it-IT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valori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95251</xdr:colOff>
      <xdr:row>9</xdr:row>
      <xdr:rowOff>83532</xdr:rowOff>
    </xdr:from>
    <xdr:to>
      <xdr:col>3</xdr:col>
      <xdr:colOff>638176</xdr:colOff>
      <xdr:row>15</xdr:row>
      <xdr:rowOff>52385</xdr:rowOff>
    </xdr:to>
    <xdr:pic>
      <xdr:nvPicPr>
        <xdr:cNvPr id="2" name="Immagine 1" descr="RONDPOINTde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1" y="1798032"/>
          <a:ext cx="2879725" cy="11118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B2:Z94"/>
  <sheetViews>
    <sheetView tabSelected="1" topLeftCell="F1" zoomScaleNormal="100" workbookViewId="0">
      <selection activeCell="L2" sqref="L2"/>
    </sheetView>
  </sheetViews>
  <sheetFormatPr defaultColWidth="9.1171875" defaultRowHeight="14.35" x14ac:dyDescent="0.5"/>
  <cols>
    <col min="1" max="1" width="4.41015625" style="1" customWidth="1"/>
    <col min="2" max="2" width="23.87890625" style="1" bestFit="1" customWidth="1"/>
    <col min="3" max="3" width="11.1171875" style="1" bestFit="1" customWidth="1"/>
    <col min="4" max="4" width="10.5859375" style="1" bestFit="1" customWidth="1"/>
    <col min="5" max="6" width="9.1171875" style="1"/>
    <col min="7" max="8" width="0" style="1" hidden="1" customWidth="1"/>
    <col min="9" max="9" width="9.703125" style="1" bestFit="1" customWidth="1"/>
    <col min="10" max="10" width="9.703125" style="1" hidden="1" customWidth="1"/>
    <col min="11" max="11" width="10.87890625" style="1" customWidth="1"/>
    <col min="12" max="12" width="8.703125" style="1" bestFit="1" customWidth="1"/>
    <col min="13" max="14" width="9.234375" style="1" bestFit="1" customWidth="1"/>
    <col min="15" max="16384" width="9.1171875" style="1"/>
  </cols>
  <sheetData>
    <row r="2" spans="2:26" x14ac:dyDescent="0.5">
      <c r="B2" s="20" t="s">
        <v>10</v>
      </c>
      <c r="C2" s="6">
        <v>42468</v>
      </c>
      <c r="D2" s="7">
        <v>42468.771359143517</v>
      </c>
      <c r="F2" s="13" t="s">
        <v>0</v>
      </c>
      <c r="G2" s="74"/>
      <c r="H2" s="24"/>
      <c r="I2" s="18" t="s">
        <v>109</v>
      </c>
      <c r="J2" s="8" t="s">
        <v>129</v>
      </c>
      <c r="K2" s="5">
        <v>-0.75</v>
      </c>
      <c r="L2" s="4">
        <v>-0.5</v>
      </c>
      <c r="M2" s="5">
        <v>-0.25</v>
      </c>
      <c r="N2" s="4">
        <v>-0.13</v>
      </c>
      <c r="O2" s="80">
        <v>0</v>
      </c>
      <c r="P2" s="81">
        <v>0.25</v>
      </c>
      <c r="Q2" s="80">
        <v>0.5</v>
      </c>
      <c r="R2" s="81">
        <v>1</v>
      </c>
      <c r="S2" s="80">
        <v>1.5</v>
      </c>
      <c r="T2" s="81">
        <v>2</v>
      </c>
      <c r="U2" s="80">
        <v>3</v>
      </c>
      <c r="V2" s="80">
        <v>5</v>
      </c>
      <c r="W2" s="82">
        <v>10</v>
      </c>
      <c r="Y2" t="s">
        <v>77</v>
      </c>
      <c r="Z2"/>
    </row>
    <row r="3" spans="2:26" hidden="1" x14ac:dyDescent="0.5">
      <c r="F3" s="29"/>
      <c r="G3" s="75"/>
      <c r="H3" s="30"/>
      <c r="I3" s="31" t="s">
        <v>76</v>
      </c>
      <c r="J3" s="32" t="s">
        <v>78</v>
      </c>
      <c r="K3" s="33">
        <v>75</v>
      </c>
      <c r="L3" s="34" t="s">
        <v>79</v>
      </c>
      <c r="M3" s="33">
        <v>25</v>
      </c>
      <c r="N3" s="34">
        <v>13</v>
      </c>
      <c r="O3" s="33" t="s">
        <v>91</v>
      </c>
      <c r="P3" s="34" t="s">
        <v>100</v>
      </c>
      <c r="Q3" s="33" t="s">
        <v>101</v>
      </c>
      <c r="R3" s="34">
        <v>10</v>
      </c>
      <c r="S3" s="33" t="s">
        <v>102</v>
      </c>
      <c r="T3" s="33">
        <v>20</v>
      </c>
      <c r="U3" s="33">
        <v>30</v>
      </c>
      <c r="V3" s="33">
        <v>50</v>
      </c>
      <c r="W3" s="32" t="s">
        <v>103</v>
      </c>
      <c r="Y3" s="1" t="s">
        <v>116</v>
      </c>
      <c r="Z3" s="1" t="s">
        <v>125</v>
      </c>
    </row>
    <row r="4" spans="2:26" x14ac:dyDescent="0.5">
      <c r="B4" s="73" t="s">
        <v>123</v>
      </c>
      <c r="F4" s="14">
        <v>1</v>
      </c>
      <c r="G4" s="76" t="s">
        <v>69</v>
      </c>
      <c r="H4" s="25"/>
      <c r="I4" s="48">
        <v>-0.28000000000000003</v>
      </c>
      <c r="J4" s="40">
        <v>7.52</v>
      </c>
      <c r="K4" s="35">
        <v>11.8</v>
      </c>
      <c r="L4" s="35">
        <v>9.4</v>
      </c>
      <c r="M4" s="35">
        <v>7.3</v>
      </c>
      <c r="N4" s="35">
        <v>8.1999999999999993</v>
      </c>
      <c r="O4" s="35">
        <v>9.8000000000000007</v>
      </c>
      <c r="P4" s="35">
        <v>12.7</v>
      </c>
      <c r="Q4" s="35">
        <v>15.3</v>
      </c>
      <c r="R4" s="35">
        <v>19.8</v>
      </c>
      <c r="S4" s="35">
        <v>23.5</v>
      </c>
      <c r="T4" s="35">
        <v>26.7</v>
      </c>
      <c r="U4" s="35">
        <v>31.9</v>
      </c>
      <c r="V4" s="35">
        <v>39.6</v>
      </c>
      <c r="W4" s="37">
        <v>51.4</v>
      </c>
    </row>
    <row r="5" spans="2:26" x14ac:dyDescent="0.5">
      <c r="B5" s="52" t="s">
        <v>9</v>
      </c>
      <c r="C5" s="85" t="s">
        <v>75</v>
      </c>
      <c r="D5" s="86"/>
      <c r="F5" s="15">
        <v>1.5</v>
      </c>
      <c r="G5" s="77" t="s">
        <v>70</v>
      </c>
      <c r="H5" s="26"/>
      <c r="I5" s="49">
        <v>-0.28999999999999998</v>
      </c>
      <c r="J5" s="42">
        <v>8.49</v>
      </c>
      <c r="K5" s="36">
        <v>12.2</v>
      </c>
      <c r="L5" s="36">
        <v>10.199999999999999</v>
      </c>
      <c r="M5" s="36">
        <v>8.1999999999999993</v>
      </c>
      <c r="N5" s="36">
        <v>9.1</v>
      </c>
      <c r="O5" s="36">
        <v>10.5</v>
      </c>
      <c r="P5" s="36">
        <v>13.2</v>
      </c>
      <c r="Q5" s="36">
        <v>15.6</v>
      </c>
      <c r="R5" s="36">
        <v>19.600000000000001</v>
      </c>
      <c r="S5" s="36">
        <v>23</v>
      </c>
      <c r="T5" s="36">
        <v>25.8</v>
      </c>
      <c r="U5" s="36">
        <v>30.4</v>
      </c>
      <c r="V5" s="36">
        <v>37.200000000000003</v>
      </c>
      <c r="W5" s="58">
        <v>47.5</v>
      </c>
    </row>
    <row r="6" spans="2:26" x14ac:dyDescent="0.5">
      <c r="B6" s="55" t="s">
        <v>11</v>
      </c>
      <c r="C6" s="85" t="s">
        <v>74</v>
      </c>
      <c r="D6" s="86"/>
      <c r="F6" s="14">
        <v>2</v>
      </c>
      <c r="G6" s="78" t="s">
        <v>71</v>
      </c>
      <c r="H6" s="27"/>
      <c r="I6" s="50">
        <v>-0.28999999999999998</v>
      </c>
      <c r="J6" s="44">
        <v>9.67</v>
      </c>
      <c r="K6" s="38">
        <v>12.7</v>
      </c>
      <c r="L6" s="38">
        <v>11.1</v>
      </c>
      <c r="M6" s="38">
        <v>9.5</v>
      </c>
      <c r="N6" s="38">
        <v>10.199999999999999</v>
      </c>
      <c r="O6" s="38">
        <v>11.4</v>
      </c>
      <c r="P6" s="38">
        <v>13.7</v>
      </c>
      <c r="Q6" s="38">
        <v>15.8</v>
      </c>
      <c r="R6" s="38">
        <v>19.399999999999999</v>
      </c>
      <c r="S6" s="38">
        <v>22.3</v>
      </c>
      <c r="T6" s="38">
        <v>24.8</v>
      </c>
      <c r="U6" s="38">
        <v>28.9</v>
      </c>
      <c r="V6" s="38">
        <v>34.799999999999997</v>
      </c>
      <c r="W6" s="59">
        <v>43.5</v>
      </c>
    </row>
    <row r="7" spans="2:26" x14ac:dyDescent="0.5">
      <c r="B7" s="53" t="s">
        <v>12</v>
      </c>
      <c r="C7" s="89" t="s">
        <v>13</v>
      </c>
      <c r="D7" s="90"/>
      <c r="F7" s="15">
        <v>3</v>
      </c>
      <c r="G7" s="77" t="s">
        <v>72</v>
      </c>
      <c r="H7" s="26"/>
      <c r="I7" s="49">
        <v>-0.14000000000000001</v>
      </c>
      <c r="J7" s="42">
        <v>11.69</v>
      </c>
      <c r="K7" s="36">
        <v>16.7</v>
      </c>
      <c r="L7" s="36">
        <v>14.3</v>
      </c>
      <c r="M7" s="36">
        <v>12</v>
      </c>
      <c r="N7" s="36">
        <v>11.7</v>
      </c>
      <c r="O7" s="36">
        <v>12</v>
      </c>
      <c r="P7" s="36">
        <v>13.3</v>
      </c>
      <c r="Q7" s="36">
        <v>14.7</v>
      </c>
      <c r="R7" s="36">
        <v>17.100000000000001</v>
      </c>
      <c r="S7" s="36">
        <v>19.3</v>
      </c>
      <c r="T7" s="36">
        <v>21.1</v>
      </c>
      <c r="U7" s="36">
        <v>24.1</v>
      </c>
      <c r="V7" s="36">
        <v>28.4</v>
      </c>
      <c r="W7" s="58">
        <v>34.5</v>
      </c>
    </row>
    <row r="8" spans="2:26" x14ac:dyDescent="0.5">
      <c r="B8" s="53" t="s">
        <v>110</v>
      </c>
      <c r="C8" s="89" t="s">
        <v>111</v>
      </c>
      <c r="D8" s="90"/>
      <c r="F8" s="14">
        <v>4</v>
      </c>
      <c r="G8" s="78" t="s">
        <v>73</v>
      </c>
      <c r="H8" s="27"/>
      <c r="I8" s="50">
        <v>-7.0000000000000007E-2</v>
      </c>
      <c r="J8" s="44">
        <v>14.07</v>
      </c>
      <c r="K8" s="38">
        <v>18.8</v>
      </c>
      <c r="L8" s="38">
        <v>16.5</v>
      </c>
      <c r="M8" s="38">
        <v>14.4</v>
      </c>
      <c r="N8" s="38">
        <v>14</v>
      </c>
      <c r="O8" s="38">
        <v>14.2</v>
      </c>
      <c r="P8" s="38">
        <v>14.9</v>
      </c>
      <c r="Q8" s="38">
        <v>15.7</v>
      </c>
      <c r="R8" s="38">
        <v>17.3</v>
      </c>
      <c r="S8" s="38">
        <v>18.7</v>
      </c>
      <c r="T8" s="38">
        <v>20</v>
      </c>
      <c r="U8" s="38">
        <v>22.1</v>
      </c>
      <c r="V8" s="38">
        <v>25.3</v>
      </c>
      <c r="W8" s="59">
        <v>29.9</v>
      </c>
    </row>
    <row r="9" spans="2:26" x14ac:dyDescent="0.5">
      <c r="B9" s="22" t="s">
        <v>112</v>
      </c>
      <c r="C9" s="93">
        <v>0.03</v>
      </c>
      <c r="D9" s="94"/>
      <c r="F9" s="15">
        <v>5</v>
      </c>
      <c r="G9" s="77" t="s">
        <v>79</v>
      </c>
      <c r="H9" s="26"/>
      <c r="I9" s="49">
        <v>0.01</v>
      </c>
      <c r="J9" s="42">
        <v>16.010000000000002</v>
      </c>
      <c r="K9" s="36">
        <v>20.6</v>
      </c>
      <c r="L9" s="36">
        <v>18.399999999999999</v>
      </c>
      <c r="M9" s="36">
        <v>16.399999999999999</v>
      </c>
      <c r="N9" s="36">
        <v>16</v>
      </c>
      <c r="O9" s="36">
        <v>16</v>
      </c>
      <c r="P9" s="36">
        <v>16.399999999999999</v>
      </c>
      <c r="Q9" s="36">
        <v>16.899999999999999</v>
      </c>
      <c r="R9" s="36">
        <v>17.899999999999999</v>
      </c>
      <c r="S9" s="36">
        <v>18.8</v>
      </c>
      <c r="T9" s="36">
        <v>19.7</v>
      </c>
      <c r="U9" s="36">
        <v>21.3</v>
      </c>
      <c r="V9" s="36">
        <v>23.8</v>
      </c>
      <c r="W9" s="58">
        <v>27.5</v>
      </c>
    </row>
    <row r="10" spans="2:26" x14ac:dyDescent="0.5">
      <c r="F10" s="14">
        <v>6</v>
      </c>
      <c r="G10" s="78" t="s">
        <v>80</v>
      </c>
      <c r="H10" s="27"/>
      <c r="I10" s="50">
        <v>0.11</v>
      </c>
      <c r="J10" s="44">
        <v>17.38</v>
      </c>
      <c r="K10" s="38">
        <v>21.9</v>
      </c>
      <c r="L10" s="38">
        <v>19.8</v>
      </c>
      <c r="M10" s="38">
        <v>17.899999999999999</v>
      </c>
      <c r="N10" s="38">
        <v>17.399999999999999</v>
      </c>
      <c r="O10" s="38">
        <v>17.3</v>
      </c>
      <c r="P10" s="38">
        <v>17.5</v>
      </c>
      <c r="Q10" s="38">
        <v>17.7</v>
      </c>
      <c r="R10" s="38">
        <v>18.2</v>
      </c>
      <c r="S10" s="38">
        <v>18.7</v>
      </c>
      <c r="T10" s="38">
        <v>19.3</v>
      </c>
      <c r="U10" s="38">
        <v>20.6</v>
      </c>
      <c r="V10" s="38">
        <v>22.7</v>
      </c>
      <c r="W10" s="59">
        <v>26</v>
      </c>
    </row>
    <row r="11" spans="2:26" x14ac:dyDescent="0.5">
      <c r="F11" s="15">
        <v>7</v>
      </c>
      <c r="G11" s="77" t="s">
        <v>81</v>
      </c>
      <c r="H11" s="26"/>
      <c r="I11" s="49">
        <v>0.22</v>
      </c>
      <c r="J11" s="42">
        <v>18.14</v>
      </c>
      <c r="K11" s="36">
        <v>22.7</v>
      </c>
      <c r="L11" s="36">
        <v>20.6</v>
      </c>
      <c r="M11" s="36">
        <v>18.8</v>
      </c>
      <c r="N11" s="36">
        <v>18.3</v>
      </c>
      <c r="O11" s="36">
        <v>18.2</v>
      </c>
      <c r="P11" s="36">
        <v>18.100000000000001</v>
      </c>
      <c r="Q11" s="36">
        <v>18.2</v>
      </c>
      <c r="R11" s="36">
        <v>18.3</v>
      </c>
      <c r="S11" s="36">
        <v>18.5</v>
      </c>
      <c r="T11" s="36">
        <v>18.899999999999999</v>
      </c>
      <c r="U11" s="36">
        <v>19.7</v>
      </c>
      <c r="V11" s="36">
        <v>21.5</v>
      </c>
      <c r="W11" s="58">
        <v>24.4</v>
      </c>
    </row>
    <row r="12" spans="2:26" x14ac:dyDescent="0.5">
      <c r="F12" s="14">
        <v>8</v>
      </c>
      <c r="G12" s="78" t="s">
        <v>82</v>
      </c>
      <c r="H12" s="27"/>
      <c r="I12" s="50">
        <v>0.33</v>
      </c>
      <c r="J12" s="44">
        <v>18.57</v>
      </c>
      <c r="K12" s="38">
        <v>23.2</v>
      </c>
      <c r="L12" s="38">
        <v>21.2</v>
      </c>
      <c r="M12" s="38">
        <v>19.5</v>
      </c>
      <c r="N12" s="38">
        <v>19</v>
      </c>
      <c r="O12" s="38">
        <v>18.8</v>
      </c>
      <c r="P12" s="38">
        <v>18.600000000000001</v>
      </c>
      <c r="Q12" s="38">
        <v>18.5</v>
      </c>
      <c r="R12" s="38">
        <v>18.3</v>
      </c>
      <c r="S12" s="38">
        <v>18.3</v>
      </c>
      <c r="T12" s="38">
        <v>18.5</v>
      </c>
      <c r="U12" s="38">
        <v>19</v>
      </c>
      <c r="V12" s="38">
        <v>20.399999999999999</v>
      </c>
      <c r="W12" s="59">
        <v>22.9</v>
      </c>
    </row>
    <row r="13" spans="2:26" x14ac:dyDescent="0.5">
      <c r="F13" s="15">
        <v>9</v>
      </c>
      <c r="G13" s="77" t="s">
        <v>83</v>
      </c>
      <c r="H13" s="26"/>
      <c r="I13" s="49">
        <v>0.44</v>
      </c>
      <c r="J13" s="42">
        <v>18.72</v>
      </c>
      <c r="K13" s="36">
        <v>23.5</v>
      </c>
      <c r="L13" s="36">
        <v>21.6</v>
      </c>
      <c r="M13" s="36">
        <v>19.899999999999999</v>
      </c>
      <c r="N13" s="36">
        <v>19.399999999999999</v>
      </c>
      <c r="O13" s="36">
        <v>19.100000000000001</v>
      </c>
      <c r="P13" s="36">
        <v>18.899999999999999</v>
      </c>
      <c r="Q13" s="36">
        <v>18.7</v>
      </c>
      <c r="R13" s="36">
        <v>18.3</v>
      </c>
      <c r="S13" s="36">
        <v>18.2</v>
      </c>
      <c r="T13" s="36">
        <v>18.100000000000001</v>
      </c>
      <c r="U13" s="36">
        <v>18.5</v>
      </c>
      <c r="V13" s="36">
        <v>19.600000000000001</v>
      </c>
      <c r="W13" s="58">
        <v>21.8</v>
      </c>
    </row>
    <row r="14" spans="2:26" x14ac:dyDescent="0.5">
      <c r="F14" s="14">
        <v>10</v>
      </c>
      <c r="G14" s="78" t="s">
        <v>84</v>
      </c>
      <c r="H14" s="27"/>
      <c r="I14" s="50">
        <v>0.53</v>
      </c>
      <c r="J14" s="44">
        <v>18.68</v>
      </c>
      <c r="K14" s="38">
        <v>23.6</v>
      </c>
      <c r="L14" s="38">
        <v>21.7</v>
      </c>
      <c r="M14" s="38">
        <v>20.2</v>
      </c>
      <c r="N14" s="38">
        <v>19.7</v>
      </c>
      <c r="O14" s="38">
        <v>19.3</v>
      </c>
      <c r="P14" s="38">
        <v>19</v>
      </c>
      <c r="Q14" s="38">
        <v>18.7</v>
      </c>
      <c r="R14" s="38">
        <v>18.2</v>
      </c>
      <c r="S14" s="38">
        <v>17.899999999999999</v>
      </c>
      <c r="T14" s="38">
        <v>17.8</v>
      </c>
      <c r="U14" s="38">
        <v>18</v>
      </c>
      <c r="V14" s="38">
        <v>18.8</v>
      </c>
      <c r="W14" s="59">
        <v>20.7</v>
      </c>
    </row>
    <row r="15" spans="2:26" x14ac:dyDescent="0.5">
      <c r="F15" s="15">
        <v>12</v>
      </c>
      <c r="G15" s="77" t="s">
        <v>85</v>
      </c>
      <c r="H15" s="26"/>
      <c r="I15" s="49">
        <v>0.7</v>
      </c>
      <c r="J15" s="42">
        <v>18.37</v>
      </c>
      <c r="K15" s="36">
        <v>23.3</v>
      </c>
      <c r="L15" s="36">
        <v>21.7</v>
      </c>
      <c r="M15" s="36">
        <v>20.3</v>
      </c>
      <c r="N15" s="36">
        <v>19.8</v>
      </c>
      <c r="O15" s="36">
        <v>19.399999999999999</v>
      </c>
      <c r="P15" s="36">
        <v>19</v>
      </c>
      <c r="Q15" s="36">
        <v>18.600000000000001</v>
      </c>
      <c r="R15" s="36">
        <v>18</v>
      </c>
      <c r="S15" s="36">
        <v>17.5</v>
      </c>
      <c r="T15" s="36">
        <v>17.3</v>
      </c>
      <c r="U15" s="36">
        <v>17.100000000000001</v>
      </c>
      <c r="V15" s="36">
        <v>17.399999999999999</v>
      </c>
      <c r="W15" s="58">
        <v>18.600000000000001</v>
      </c>
    </row>
    <row r="16" spans="2:26" x14ac:dyDescent="0.5">
      <c r="F16" s="16">
        <v>15</v>
      </c>
      <c r="G16" s="78" t="s">
        <v>86</v>
      </c>
      <c r="H16" s="27"/>
      <c r="I16" s="50">
        <v>0.86</v>
      </c>
      <c r="J16" s="44">
        <v>17.86</v>
      </c>
      <c r="K16" s="38">
        <v>22.8</v>
      </c>
      <c r="L16" s="38">
        <v>21.4</v>
      </c>
      <c r="M16" s="38">
        <v>20.100000000000001</v>
      </c>
      <c r="N16" s="38">
        <v>19.7</v>
      </c>
      <c r="O16" s="38">
        <v>19.3</v>
      </c>
      <c r="P16" s="38">
        <v>18.8</v>
      </c>
      <c r="Q16" s="38">
        <v>18.399999999999999</v>
      </c>
      <c r="R16" s="38">
        <v>17.7</v>
      </c>
      <c r="S16" s="38">
        <v>17.100000000000001</v>
      </c>
      <c r="T16" s="38">
        <v>16.7</v>
      </c>
      <c r="U16" s="38">
        <v>16.2</v>
      </c>
      <c r="V16" s="38">
        <v>16</v>
      </c>
      <c r="W16" s="59">
        <v>16.5</v>
      </c>
    </row>
    <row r="17" spans="2:23" x14ac:dyDescent="0.5">
      <c r="F17" s="15">
        <v>20</v>
      </c>
      <c r="G17" s="77" t="s">
        <v>87</v>
      </c>
      <c r="H17" s="26"/>
      <c r="I17" s="49">
        <v>0.98</v>
      </c>
      <c r="J17" s="42">
        <v>17.36</v>
      </c>
      <c r="K17" s="36">
        <v>22.1</v>
      </c>
      <c r="L17" s="36">
        <v>20.9</v>
      </c>
      <c r="M17" s="36">
        <v>19.8</v>
      </c>
      <c r="N17" s="36">
        <v>19.399999999999999</v>
      </c>
      <c r="O17" s="36">
        <v>19.100000000000001</v>
      </c>
      <c r="P17" s="36">
        <v>18.600000000000001</v>
      </c>
      <c r="Q17" s="36">
        <v>18.100000000000001</v>
      </c>
      <c r="R17" s="36">
        <v>17.3</v>
      </c>
      <c r="S17" s="36">
        <v>16.7</v>
      </c>
      <c r="T17" s="36">
        <v>16.3</v>
      </c>
      <c r="U17" s="36">
        <v>15.6</v>
      </c>
      <c r="V17" s="36">
        <v>15</v>
      </c>
      <c r="W17" s="58">
        <v>14.8</v>
      </c>
    </row>
    <row r="18" spans="2:23" x14ac:dyDescent="0.5">
      <c r="F18" s="16">
        <v>25</v>
      </c>
      <c r="G18" s="78" t="s">
        <v>88</v>
      </c>
      <c r="H18" s="27"/>
      <c r="I18" s="50">
        <v>1.01</v>
      </c>
      <c r="J18" s="44">
        <v>17.16</v>
      </c>
      <c r="K18" s="38">
        <v>21.7</v>
      </c>
      <c r="L18" s="38">
        <v>20.6</v>
      </c>
      <c r="M18" s="38">
        <v>19.600000000000001</v>
      </c>
      <c r="N18" s="38">
        <v>19.3</v>
      </c>
      <c r="O18" s="38">
        <v>18.899999999999999</v>
      </c>
      <c r="P18" s="38">
        <v>18.399999999999999</v>
      </c>
      <c r="Q18" s="38">
        <v>18</v>
      </c>
      <c r="R18" s="38">
        <v>17.2</v>
      </c>
      <c r="S18" s="38">
        <v>16.5</v>
      </c>
      <c r="T18" s="38">
        <v>16.100000000000001</v>
      </c>
      <c r="U18" s="38">
        <v>15.4</v>
      </c>
      <c r="V18" s="38">
        <v>14.6</v>
      </c>
      <c r="W18" s="59">
        <v>14</v>
      </c>
    </row>
    <row r="19" spans="2:23" x14ac:dyDescent="0.5">
      <c r="F19" s="15">
        <v>30</v>
      </c>
      <c r="G19" s="79" t="s">
        <v>89</v>
      </c>
      <c r="H19" s="28"/>
      <c r="I19" s="51">
        <v>1</v>
      </c>
      <c r="J19" s="46">
        <v>17.02</v>
      </c>
      <c r="K19" s="39">
        <v>21.3</v>
      </c>
      <c r="L19" s="39">
        <v>20.3</v>
      </c>
      <c r="M19" s="39">
        <v>19.5</v>
      </c>
      <c r="N19" s="39">
        <v>19.100000000000001</v>
      </c>
      <c r="O19" s="39">
        <v>18.8</v>
      </c>
      <c r="P19" s="39">
        <v>18.3</v>
      </c>
      <c r="Q19" s="39">
        <v>17.8</v>
      </c>
      <c r="R19" s="39">
        <v>17</v>
      </c>
      <c r="S19" s="39">
        <v>16.399999999999999</v>
      </c>
      <c r="T19" s="39">
        <v>15.9</v>
      </c>
      <c r="U19" s="39">
        <v>15.2</v>
      </c>
      <c r="V19" s="39">
        <v>14.3</v>
      </c>
      <c r="W19" s="60">
        <v>13.5</v>
      </c>
    </row>
    <row r="21" spans="2:23" x14ac:dyDescent="0.5">
      <c r="F21" s="13" t="s">
        <v>0</v>
      </c>
      <c r="G21" s="74"/>
      <c r="H21" s="24"/>
      <c r="I21" s="18" t="s">
        <v>109</v>
      </c>
      <c r="J21" s="8" t="s">
        <v>129</v>
      </c>
      <c r="K21" s="5">
        <v>-0.75</v>
      </c>
      <c r="L21" s="4">
        <v>-0.5</v>
      </c>
      <c r="M21" s="5">
        <v>-0.25</v>
      </c>
      <c r="N21" s="4">
        <v>-0.13</v>
      </c>
      <c r="O21" s="5" t="s">
        <v>90</v>
      </c>
      <c r="P21" s="4" t="s">
        <v>92</v>
      </c>
      <c r="Q21" s="5" t="s">
        <v>93</v>
      </c>
      <c r="R21" s="4" t="s">
        <v>94</v>
      </c>
      <c r="S21" s="5" t="s">
        <v>95</v>
      </c>
      <c r="T21" s="5" t="s">
        <v>96</v>
      </c>
      <c r="U21" s="5" t="s">
        <v>97</v>
      </c>
      <c r="V21" s="5" t="s">
        <v>98</v>
      </c>
      <c r="W21" s="8" t="s">
        <v>99</v>
      </c>
    </row>
    <row r="22" spans="2:23" hidden="1" x14ac:dyDescent="0.5">
      <c r="C22" s="85" t="s">
        <v>119</v>
      </c>
      <c r="D22" s="86"/>
      <c r="F22" s="29"/>
      <c r="G22" s="75"/>
      <c r="H22" s="30"/>
      <c r="I22" s="31"/>
      <c r="J22" s="32" t="s">
        <v>76</v>
      </c>
      <c r="K22" s="33">
        <v>75</v>
      </c>
      <c r="L22" s="34" t="s">
        <v>79</v>
      </c>
      <c r="M22" s="33">
        <v>25</v>
      </c>
      <c r="N22" s="34">
        <v>13</v>
      </c>
      <c r="O22" s="33" t="s">
        <v>120</v>
      </c>
      <c r="P22" s="34" t="s">
        <v>118</v>
      </c>
      <c r="Q22" s="57" t="s">
        <v>79</v>
      </c>
      <c r="R22" s="34">
        <v>10</v>
      </c>
      <c r="S22" s="33">
        <v>15</v>
      </c>
      <c r="T22" s="33">
        <v>20</v>
      </c>
      <c r="U22" s="33">
        <v>30</v>
      </c>
      <c r="V22" s="33">
        <v>50</v>
      </c>
      <c r="W22" s="61" t="s">
        <v>91</v>
      </c>
    </row>
    <row r="23" spans="2:23" x14ac:dyDescent="0.5">
      <c r="B23" s="73" t="s">
        <v>123</v>
      </c>
      <c r="C23" s="62" t="s">
        <v>117</v>
      </c>
      <c r="D23" s="63"/>
      <c r="F23" s="14" t="s">
        <v>6</v>
      </c>
      <c r="G23" s="76" t="s">
        <v>69</v>
      </c>
      <c r="H23" s="25">
        <v>1</v>
      </c>
      <c r="I23" s="48">
        <v>-0.28000000000000003</v>
      </c>
      <c r="J23" s="40">
        <v>20.45</v>
      </c>
      <c r="K23" s="35">
        <v>29.1</v>
      </c>
      <c r="L23" s="35">
        <v>24.5</v>
      </c>
      <c r="M23" s="35">
        <v>19.899999999999999</v>
      </c>
      <c r="N23" s="35">
        <v>23</v>
      </c>
      <c r="O23" s="35">
        <v>27.9</v>
      </c>
      <c r="P23" s="35">
        <v>37.700000000000003</v>
      </c>
      <c r="Q23" s="35">
        <v>47.3</v>
      </c>
      <c r="R23" s="35">
        <v>65.5</v>
      </c>
      <c r="S23" s="35">
        <v>82.7</v>
      </c>
      <c r="T23" s="35">
        <v>99.4</v>
      </c>
      <c r="U23" s="35">
        <v>131.30000000000001</v>
      </c>
      <c r="V23" s="35">
        <v>192.1</v>
      </c>
      <c r="W23" s="37">
        <v>334.4</v>
      </c>
    </row>
    <row r="24" spans="2:23" x14ac:dyDescent="0.5">
      <c r="B24" s="52" t="s">
        <v>9</v>
      </c>
      <c r="C24" s="62" t="s">
        <v>115</v>
      </c>
      <c r="D24" s="63"/>
      <c r="F24" s="15" t="s">
        <v>68</v>
      </c>
      <c r="G24" s="77" t="s">
        <v>70</v>
      </c>
      <c r="H24" s="26" t="s">
        <v>70</v>
      </c>
      <c r="I24" s="49">
        <v>-0.28999999999999998</v>
      </c>
      <c r="J24" s="42">
        <v>22.99</v>
      </c>
      <c r="K24" s="36">
        <v>30.1</v>
      </c>
      <c r="L24" s="36">
        <v>26.5</v>
      </c>
      <c r="M24" s="36">
        <v>22.4</v>
      </c>
      <c r="N24" s="36">
        <v>25.4</v>
      </c>
      <c r="O24" s="36">
        <v>29.9</v>
      </c>
      <c r="P24" s="36">
        <v>39.1</v>
      </c>
      <c r="Q24" s="36">
        <v>47.9</v>
      </c>
      <c r="R24" s="36">
        <v>64.7</v>
      </c>
      <c r="S24" s="36">
        <v>80.599999999999994</v>
      </c>
      <c r="T24" s="36">
        <v>95.9</v>
      </c>
      <c r="U24" s="36">
        <v>125.2</v>
      </c>
      <c r="V24" s="36">
        <v>180.4</v>
      </c>
      <c r="W24" s="58">
        <v>307.8</v>
      </c>
    </row>
    <row r="25" spans="2:23" x14ac:dyDescent="0.5">
      <c r="B25" s="55" t="s">
        <v>11</v>
      </c>
      <c r="C25" s="62" t="s">
        <v>74</v>
      </c>
      <c r="D25" s="63"/>
      <c r="F25" s="16" t="s">
        <v>7</v>
      </c>
      <c r="G25" s="78" t="s">
        <v>71</v>
      </c>
      <c r="H25" s="27">
        <v>2</v>
      </c>
      <c r="I25" s="50">
        <v>-0.28999999999999998</v>
      </c>
      <c r="J25" s="44">
        <v>26.17</v>
      </c>
      <c r="K25" s="38">
        <v>31.3</v>
      </c>
      <c r="L25" s="38">
        <v>28.8</v>
      </c>
      <c r="M25" s="38">
        <v>25.8</v>
      </c>
      <c r="N25" s="38">
        <v>28.4</v>
      </c>
      <c r="O25" s="38">
        <v>32.4</v>
      </c>
      <c r="P25" s="38">
        <v>40.6</v>
      </c>
      <c r="Q25" s="38">
        <v>48.6</v>
      </c>
      <c r="R25" s="38">
        <v>63.9</v>
      </c>
      <c r="S25" s="38">
        <v>78.5</v>
      </c>
      <c r="T25" s="38">
        <v>92.4</v>
      </c>
      <c r="U25" s="38">
        <v>118.9</v>
      </c>
      <c r="V25" s="38">
        <v>168.6</v>
      </c>
      <c r="W25" s="59">
        <v>282</v>
      </c>
    </row>
    <row r="26" spans="2:23" x14ac:dyDescent="0.5">
      <c r="B26" s="53" t="s">
        <v>12</v>
      </c>
      <c r="C26" s="64" t="s">
        <v>13</v>
      </c>
      <c r="D26" s="65"/>
      <c r="F26" s="15" t="s">
        <v>8</v>
      </c>
      <c r="G26" s="77" t="s">
        <v>72</v>
      </c>
      <c r="H26" s="26">
        <v>3</v>
      </c>
      <c r="I26" s="49">
        <v>-0.14000000000000001</v>
      </c>
      <c r="J26" s="42">
        <v>33.520000000000003</v>
      </c>
      <c r="K26" s="36">
        <v>42.6</v>
      </c>
      <c r="L26" s="36">
        <v>38.4</v>
      </c>
      <c r="M26" s="36">
        <v>33.799999999999997</v>
      </c>
      <c r="N26" s="36">
        <v>33.5</v>
      </c>
      <c r="O26" s="36">
        <v>35.299999999999997</v>
      </c>
      <c r="P26" s="36">
        <v>40.700000000000003</v>
      </c>
      <c r="Q26" s="36">
        <v>46.6</v>
      </c>
      <c r="R26" s="36">
        <v>58.5</v>
      </c>
      <c r="S26" s="36">
        <v>70</v>
      </c>
      <c r="T26" s="36">
        <v>81.2</v>
      </c>
      <c r="U26" s="36">
        <v>102.5</v>
      </c>
      <c r="V26" s="36">
        <v>141.9</v>
      </c>
      <c r="W26" s="58">
        <v>230.1</v>
      </c>
    </row>
    <row r="27" spans="2:23" x14ac:dyDescent="0.5">
      <c r="B27" s="53" t="s">
        <v>110</v>
      </c>
      <c r="C27" s="64" t="s">
        <v>113</v>
      </c>
      <c r="D27" s="65"/>
      <c r="F27" s="16" t="s">
        <v>32</v>
      </c>
      <c r="G27" s="78" t="s">
        <v>73</v>
      </c>
      <c r="H27" s="27">
        <v>4</v>
      </c>
      <c r="I27" s="50">
        <v>-7.0000000000000007E-2</v>
      </c>
      <c r="J27" s="44">
        <v>41.3</v>
      </c>
      <c r="K27" s="38">
        <v>48.6</v>
      </c>
      <c r="L27" s="38">
        <v>44.9</v>
      </c>
      <c r="M27" s="38">
        <v>41</v>
      </c>
      <c r="N27" s="38">
        <v>40.799999999999997</v>
      </c>
      <c r="O27" s="38">
        <v>42.1</v>
      </c>
      <c r="P27" s="38">
        <v>46.3</v>
      </c>
      <c r="Q27" s="38">
        <v>50.8</v>
      </c>
      <c r="R27" s="38">
        <v>59.9</v>
      </c>
      <c r="S27" s="38">
        <v>69.099999999999994</v>
      </c>
      <c r="T27" s="38">
        <v>78.2</v>
      </c>
      <c r="U27" s="38">
        <v>95.9</v>
      </c>
      <c r="V27" s="38">
        <v>129.30000000000001</v>
      </c>
      <c r="W27" s="59">
        <v>203.9</v>
      </c>
    </row>
    <row r="28" spans="2:23" x14ac:dyDescent="0.5">
      <c r="B28" s="22" t="s">
        <v>114</v>
      </c>
      <c r="C28" s="56"/>
      <c r="D28" s="54"/>
      <c r="F28" s="15" t="s">
        <v>35</v>
      </c>
      <c r="G28" s="77" t="s">
        <v>79</v>
      </c>
      <c r="H28" s="26">
        <v>5</v>
      </c>
      <c r="I28" s="49">
        <v>0.01</v>
      </c>
      <c r="J28" s="42">
        <v>48.43</v>
      </c>
      <c r="K28" s="36">
        <v>54.1</v>
      </c>
      <c r="L28" s="36">
        <v>50.7</v>
      </c>
      <c r="M28" s="36">
        <v>47.4</v>
      </c>
      <c r="N28" s="36">
        <v>47.2</v>
      </c>
      <c r="O28" s="36">
        <v>48.3</v>
      </c>
      <c r="P28" s="36">
        <v>51.8</v>
      </c>
      <c r="Q28" s="36">
        <v>55.5</v>
      </c>
      <c r="R28" s="36">
        <v>63</v>
      </c>
      <c r="S28" s="36">
        <v>70.8</v>
      </c>
      <c r="T28" s="36">
        <v>78.599999999999994</v>
      </c>
      <c r="U28" s="36">
        <v>94.2</v>
      </c>
      <c r="V28" s="36">
        <v>124</v>
      </c>
      <c r="W28" s="58">
        <v>191.4</v>
      </c>
    </row>
    <row r="29" spans="2:23" x14ac:dyDescent="0.5">
      <c r="F29" s="16" t="s">
        <v>38</v>
      </c>
      <c r="G29" s="78" t="s">
        <v>80</v>
      </c>
      <c r="H29" s="27">
        <v>6</v>
      </c>
      <c r="I29" s="50">
        <v>0.11</v>
      </c>
      <c r="J29" s="44">
        <v>54.4</v>
      </c>
      <c r="K29" s="38">
        <v>58.4</v>
      </c>
      <c r="L29" s="38">
        <v>55.3</v>
      </c>
      <c r="M29" s="38">
        <v>52.4</v>
      </c>
      <c r="N29" s="38">
        <v>52.2</v>
      </c>
      <c r="O29" s="38">
        <v>53.1</v>
      </c>
      <c r="P29" s="38">
        <v>56</v>
      </c>
      <c r="Q29" s="38">
        <v>59.1</v>
      </c>
      <c r="R29" s="38">
        <v>65.5</v>
      </c>
      <c r="S29" s="38">
        <v>72.099999999999994</v>
      </c>
      <c r="T29" s="38">
        <v>79</v>
      </c>
      <c r="U29" s="38">
        <v>93.1</v>
      </c>
      <c r="V29" s="38">
        <v>121.1</v>
      </c>
      <c r="W29" s="59">
        <v>184.9</v>
      </c>
    </row>
    <row r="30" spans="2:23" x14ac:dyDescent="0.5">
      <c r="F30" s="15" t="s">
        <v>41</v>
      </c>
      <c r="G30" s="77" t="s">
        <v>81</v>
      </c>
      <c r="H30" s="26">
        <v>7</v>
      </c>
      <c r="I30" s="49">
        <v>0.22</v>
      </c>
      <c r="J30" s="42">
        <v>59</v>
      </c>
      <c r="K30" s="36">
        <v>61.7</v>
      </c>
      <c r="L30" s="36">
        <v>58.9</v>
      </c>
      <c r="M30" s="36">
        <v>56.3</v>
      </c>
      <c r="N30" s="36">
        <v>56.1</v>
      </c>
      <c r="O30" s="36">
        <v>56.8</v>
      </c>
      <c r="P30" s="36">
        <v>59.3</v>
      </c>
      <c r="Q30" s="36">
        <v>61.9</v>
      </c>
      <c r="R30" s="36">
        <v>67.3</v>
      </c>
      <c r="S30" s="36">
        <v>72.900000000000006</v>
      </c>
      <c r="T30" s="36">
        <v>78.8</v>
      </c>
      <c r="U30" s="36">
        <v>91.5</v>
      </c>
      <c r="V30" s="36">
        <v>117.4</v>
      </c>
      <c r="W30" s="58">
        <v>177.6</v>
      </c>
    </row>
    <row r="31" spans="2:23" x14ac:dyDescent="0.5">
      <c r="F31" s="16" t="s">
        <v>44</v>
      </c>
      <c r="G31" s="78" t="s">
        <v>82</v>
      </c>
      <c r="H31" s="27">
        <v>8</v>
      </c>
      <c r="I31" s="50">
        <v>0.33</v>
      </c>
      <c r="J31" s="44">
        <v>62.71</v>
      </c>
      <c r="K31" s="38">
        <v>64.2</v>
      </c>
      <c r="L31" s="38">
        <v>61.7</v>
      </c>
      <c r="M31" s="38">
        <v>59.3</v>
      </c>
      <c r="N31" s="38">
        <v>59.1</v>
      </c>
      <c r="O31" s="38">
        <v>59.7</v>
      </c>
      <c r="P31" s="38">
        <v>61.9</v>
      </c>
      <c r="Q31" s="38">
        <v>64.2</v>
      </c>
      <c r="R31" s="38">
        <v>68.8</v>
      </c>
      <c r="S31" s="38">
        <v>73.7</v>
      </c>
      <c r="T31" s="38">
        <v>78.900000000000006</v>
      </c>
      <c r="U31" s="38">
        <v>90.2</v>
      </c>
      <c r="V31" s="38">
        <v>114</v>
      </c>
      <c r="W31" s="59">
        <v>170.6</v>
      </c>
    </row>
    <row r="32" spans="2:23" x14ac:dyDescent="0.5">
      <c r="F32" s="15" t="s">
        <v>47</v>
      </c>
      <c r="G32" s="77" t="s">
        <v>83</v>
      </c>
      <c r="H32" s="26">
        <v>9</v>
      </c>
      <c r="I32" s="49">
        <v>0.44</v>
      </c>
      <c r="J32" s="42">
        <v>65.36</v>
      </c>
      <c r="K32" s="36">
        <v>66.099999999999994</v>
      </c>
      <c r="L32" s="36">
        <v>63.8</v>
      </c>
      <c r="M32" s="36">
        <v>61.6</v>
      </c>
      <c r="N32" s="36">
        <v>61.4</v>
      </c>
      <c r="O32" s="36">
        <v>62</v>
      </c>
      <c r="P32" s="36">
        <v>63.8</v>
      </c>
      <c r="Q32" s="36">
        <v>65.8</v>
      </c>
      <c r="R32" s="36">
        <v>69.900000000000006</v>
      </c>
      <c r="S32" s="36">
        <v>74.099999999999994</v>
      </c>
      <c r="T32" s="36">
        <v>78.8</v>
      </c>
      <c r="U32" s="36">
        <v>89.1</v>
      </c>
      <c r="V32" s="36">
        <v>111.3</v>
      </c>
      <c r="W32" s="58">
        <v>165</v>
      </c>
    </row>
    <row r="33" spans="2:23" x14ac:dyDescent="0.5">
      <c r="F33" s="16" t="s">
        <v>50</v>
      </c>
      <c r="G33" s="78" t="s">
        <v>84</v>
      </c>
      <c r="H33" s="27"/>
      <c r="I33" s="50">
        <v>0.53</v>
      </c>
      <c r="J33" s="44">
        <v>67.2</v>
      </c>
      <c r="K33" s="38">
        <v>67.3</v>
      </c>
      <c r="L33" s="38">
        <v>65.2</v>
      </c>
      <c r="M33" s="38">
        <v>63.3</v>
      </c>
      <c r="N33" s="38">
        <v>63.1</v>
      </c>
      <c r="O33" s="38">
        <v>63.5</v>
      </c>
      <c r="P33" s="38">
        <v>65.099999999999994</v>
      </c>
      <c r="Q33" s="38">
        <v>66.900000000000006</v>
      </c>
      <c r="R33" s="38">
        <v>70.5</v>
      </c>
      <c r="S33" s="38">
        <v>74.3</v>
      </c>
      <c r="T33" s="38">
        <v>78.5</v>
      </c>
      <c r="U33" s="38">
        <v>87.8</v>
      </c>
      <c r="V33" s="38">
        <v>108.3</v>
      </c>
      <c r="W33" s="59">
        <v>158.69999999999999</v>
      </c>
    </row>
    <row r="34" spans="2:23" x14ac:dyDescent="0.5">
      <c r="F34" s="15" t="s">
        <v>104</v>
      </c>
      <c r="G34" s="77" t="s">
        <v>85</v>
      </c>
      <c r="H34" s="26"/>
      <c r="I34" s="49">
        <v>0.7</v>
      </c>
      <c r="J34" s="42">
        <v>69.36</v>
      </c>
      <c r="K34" s="36">
        <v>68.400000000000006</v>
      </c>
      <c r="L34" s="36">
        <v>66.7</v>
      </c>
      <c r="M34" s="36">
        <v>65.2</v>
      </c>
      <c r="N34" s="36">
        <v>65</v>
      </c>
      <c r="O34" s="36">
        <v>65.400000000000006</v>
      </c>
      <c r="P34" s="36">
        <v>66.7</v>
      </c>
      <c r="Q34" s="36">
        <v>68.2</v>
      </c>
      <c r="R34" s="36">
        <v>71.099999999999994</v>
      </c>
      <c r="S34" s="36">
        <v>74.2</v>
      </c>
      <c r="T34" s="36">
        <v>77.599999999999994</v>
      </c>
      <c r="U34" s="36">
        <v>85.2</v>
      </c>
      <c r="V34" s="36">
        <v>102.1</v>
      </c>
      <c r="W34" s="58">
        <v>145.19999999999999</v>
      </c>
    </row>
    <row r="35" spans="2:23" x14ac:dyDescent="0.5">
      <c r="F35" s="16" t="s">
        <v>105</v>
      </c>
      <c r="G35" s="78" t="s">
        <v>86</v>
      </c>
      <c r="H35" s="27"/>
      <c r="I35" s="50">
        <v>0.86</v>
      </c>
      <c r="J35" s="44">
        <v>70.489999999999995</v>
      </c>
      <c r="K35" s="38">
        <v>68.400000000000006</v>
      </c>
      <c r="L35" s="38">
        <v>67.2</v>
      </c>
      <c r="M35" s="38">
        <v>66.2</v>
      </c>
      <c r="N35" s="38">
        <v>66.099999999999994</v>
      </c>
      <c r="O35" s="38">
        <v>66.400000000000006</v>
      </c>
      <c r="P35" s="38">
        <v>67.5</v>
      </c>
      <c r="Q35" s="38">
        <v>68.7</v>
      </c>
      <c r="R35" s="38">
        <v>71.099999999999994</v>
      </c>
      <c r="S35" s="38">
        <v>73.599999999999994</v>
      </c>
      <c r="T35" s="38">
        <v>76.3</v>
      </c>
      <c r="U35" s="38">
        <v>82.3</v>
      </c>
      <c r="V35" s="38">
        <v>95.5</v>
      </c>
      <c r="W35" s="59">
        <v>130.19999999999999</v>
      </c>
    </row>
    <row r="36" spans="2:23" x14ac:dyDescent="0.5">
      <c r="F36" s="15" t="s">
        <v>106</v>
      </c>
      <c r="G36" s="77" t="s">
        <v>87</v>
      </c>
      <c r="H36" s="26"/>
      <c r="I36" s="49">
        <v>0.98</v>
      </c>
      <c r="J36" s="42">
        <v>70.11</v>
      </c>
      <c r="K36" s="36">
        <v>66.900000000000006</v>
      </c>
      <c r="L36" s="36">
        <v>66.400000000000006</v>
      </c>
      <c r="M36" s="36">
        <v>65.900000000000006</v>
      </c>
      <c r="N36" s="36">
        <v>66</v>
      </c>
      <c r="O36" s="36">
        <v>66.3</v>
      </c>
      <c r="P36" s="36">
        <v>67.2</v>
      </c>
      <c r="Q36" s="36">
        <v>68.2</v>
      </c>
      <c r="R36" s="36">
        <v>70.2</v>
      </c>
      <c r="S36" s="36">
        <v>72.2</v>
      </c>
      <c r="T36" s="36">
        <v>74.400000000000006</v>
      </c>
      <c r="U36" s="36">
        <v>79.099999999999994</v>
      </c>
      <c r="V36" s="36">
        <v>89.2</v>
      </c>
      <c r="W36" s="58">
        <v>115.8</v>
      </c>
    </row>
    <row r="37" spans="2:23" x14ac:dyDescent="0.5">
      <c r="F37" s="16" t="s">
        <v>107</v>
      </c>
      <c r="G37" s="78" t="s">
        <v>88</v>
      </c>
      <c r="H37" s="27"/>
      <c r="I37" s="50">
        <v>1.01</v>
      </c>
      <c r="J37" s="44">
        <v>69.12</v>
      </c>
      <c r="K37" s="38">
        <v>65.2</v>
      </c>
      <c r="L37" s="38">
        <v>65.099999999999994</v>
      </c>
      <c r="M37" s="38">
        <v>65</v>
      </c>
      <c r="N37" s="38">
        <v>65.2</v>
      </c>
      <c r="O37" s="38">
        <v>65.5</v>
      </c>
      <c r="P37" s="38">
        <v>66.400000000000006</v>
      </c>
      <c r="Q37" s="38">
        <v>67.3</v>
      </c>
      <c r="R37" s="38">
        <v>69.099999999999994</v>
      </c>
      <c r="S37" s="38">
        <v>70.900000000000006</v>
      </c>
      <c r="T37" s="38">
        <v>72.900000000000006</v>
      </c>
      <c r="U37" s="38">
        <v>77</v>
      </c>
      <c r="V37" s="38">
        <v>85.8</v>
      </c>
      <c r="W37" s="59">
        <v>108</v>
      </c>
    </row>
    <row r="38" spans="2:23" x14ac:dyDescent="0.5">
      <c r="F38" s="17" t="s">
        <v>108</v>
      </c>
      <c r="G38" s="79" t="s">
        <v>89</v>
      </c>
      <c r="H38" s="28"/>
      <c r="I38" s="51">
        <v>1</v>
      </c>
      <c r="J38" s="46">
        <v>67.83</v>
      </c>
      <c r="K38" s="39">
        <v>63.5</v>
      </c>
      <c r="L38" s="39">
        <v>63.7</v>
      </c>
      <c r="M38" s="39">
        <v>63.8</v>
      </c>
      <c r="N38" s="39">
        <v>64</v>
      </c>
      <c r="O38" s="39">
        <v>64.400000000000006</v>
      </c>
      <c r="P38" s="39">
        <v>65.2</v>
      </c>
      <c r="Q38" s="39">
        <v>66.099999999999994</v>
      </c>
      <c r="R38" s="39">
        <v>67.8</v>
      </c>
      <c r="S38" s="39">
        <v>69.599999999999994</v>
      </c>
      <c r="T38" s="39">
        <v>71.400000000000006</v>
      </c>
      <c r="U38" s="39">
        <v>75.2</v>
      </c>
      <c r="V38" s="39">
        <v>83.1</v>
      </c>
      <c r="W38" s="60">
        <v>102.9</v>
      </c>
    </row>
    <row r="40" spans="2:23" x14ac:dyDescent="0.5">
      <c r="F40" s="13" t="s">
        <v>0</v>
      </c>
      <c r="G40" s="74"/>
      <c r="H40" s="24"/>
      <c r="I40" s="18" t="s">
        <v>6</v>
      </c>
      <c r="J40" s="4" t="s">
        <v>7</v>
      </c>
      <c r="K40" s="5" t="s">
        <v>8</v>
      </c>
      <c r="L40" s="4" t="s">
        <v>32</v>
      </c>
      <c r="M40" s="5" t="s">
        <v>35</v>
      </c>
      <c r="N40" s="4" t="s">
        <v>38</v>
      </c>
      <c r="O40" s="5" t="s">
        <v>41</v>
      </c>
      <c r="P40" s="4" t="s">
        <v>44</v>
      </c>
      <c r="Q40" s="5" t="s">
        <v>47</v>
      </c>
      <c r="R40" s="4" t="s">
        <v>50</v>
      </c>
      <c r="S40" s="5" t="s">
        <v>105</v>
      </c>
      <c r="T40" s="5" t="s">
        <v>106</v>
      </c>
      <c r="U40" s="5" t="s">
        <v>107</v>
      </c>
      <c r="V40" s="68" t="s">
        <v>108</v>
      </c>
    </row>
    <row r="41" spans="2:23" hidden="1" x14ac:dyDescent="0.5">
      <c r="F41" s="29"/>
      <c r="G41" s="75"/>
      <c r="H41" s="30"/>
      <c r="I41" s="66" t="s">
        <v>69</v>
      </c>
      <c r="J41" s="67" t="s">
        <v>71</v>
      </c>
      <c r="K41" s="57" t="s">
        <v>72</v>
      </c>
      <c r="L41" s="67" t="s">
        <v>73</v>
      </c>
      <c r="M41" s="57" t="s">
        <v>79</v>
      </c>
      <c r="N41" s="67" t="s">
        <v>80</v>
      </c>
      <c r="O41" s="57" t="s">
        <v>81</v>
      </c>
      <c r="P41" s="67" t="s">
        <v>82</v>
      </c>
      <c r="Q41" s="57" t="s">
        <v>83</v>
      </c>
      <c r="R41" s="67" t="s">
        <v>84</v>
      </c>
      <c r="S41" s="33">
        <v>15</v>
      </c>
      <c r="T41" s="33">
        <v>20</v>
      </c>
      <c r="U41" s="33">
        <v>25</v>
      </c>
      <c r="V41" s="69">
        <v>30</v>
      </c>
    </row>
    <row r="42" spans="2:23" x14ac:dyDescent="0.5">
      <c r="B42" s="73" t="s">
        <v>124</v>
      </c>
      <c r="F42" s="14" t="s">
        <v>1</v>
      </c>
      <c r="G42" s="76" t="s">
        <v>100</v>
      </c>
      <c r="H42" s="25"/>
      <c r="I42" s="48">
        <v>4.5999999999999996</v>
      </c>
      <c r="J42" s="35">
        <v>7.2</v>
      </c>
      <c r="K42" s="35">
        <v>10.8</v>
      </c>
      <c r="L42" s="35">
        <v>15</v>
      </c>
      <c r="M42" s="35">
        <v>18.899999999999999</v>
      </c>
      <c r="N42" s="35">
        <v>20.6</v>
      </c>
      <c r="O42" s="35">
        <v>21.8</v>
      </c>
      <c r="P42" s="35">
        <v>22.7</v>
      </c>
      <c r="Q42" s="35">
        <v>24.1</v>
      </c>
      <c r="R42" s="35">
        <v>24.6</v>
      </c>
      <c r="S42" s="35">
        <v>23.7</v>
      </c>
      <c r="T42" s="35">
        <v>24.4</v>
      </c>
      <c r="U42" s="35">
        <v>25.1</v>
      </c>
      <c r="V42" s="37">
        <v>25.3</v>
      </c>
    </row>
    <row r="43" spans="2:23" x14ac:dyDescent="0.5">
      <c r="B43" s="52" t="s">
        <v>9</v>
      </c>
      <c r="C43" s="85" t="s">
        <v>121</v>
      </c>
      <c r="D43" s="86"/>
      <c r="F43" s="15" t="s">
        <v>2</v>
      </c>
      <c r="G43" s="77" t="s">
        <v>101</v>
      </c>
      <c r="H43" s="26"/>
      <c r="I43" s="49">
        <v>5</v>
      </c>
      <c r="J43" s="36">
        <v>7</v>
      </c>
      <c r="K43" s="36">
        <v>11.1</v>
      </c>
      <c r="L43" s="36">
        <v>15.9</v>
      </c>
      <c r="M43" s="36">
        <v>21.1</v>
      </c>
      <c r="N43" s="36">
        <v>22.6</v>
      </c>
      <c r="O43" s="36">
        <v>23.8</v>
      </c>
      <c r="P43" s="36">
        <v>24.5</v>
      </c>
      <c r="Q43" s="36">
        <v>25.4</v>
      </c>
      <c r="R43" s="36">
        <v>26</v>
      </c>
      <c r="S43" s="36">
        <v>25.6</v>
      </c>
      <c r="T43" s="36">
        <v>26.3</v>
      </c>
      <c r="U43" s="36">
        <v>26.7</v>
      </c>
      <c r="V43" s="58">
        <v>27</v>
      </c>
    </row>
    <row r="44" spans="2:23" x14ac:dyDescent="0.5">
      <c r="B44" s="55" t="s">
        <v>11</v>
      </c>
      <c r="C44" s="85" t="s">
        <v>74</v>
      </c>
      <c r="D44" s="86"/>
      <c r="F44" s="16" t="s">
        <v>3</v>
      </c>
      <c r="G44" s="78" t="s">
        <v>122</v>
      </c>
      <c r="H44" s="27"/>
      <c r="I44" s="50">
        <v>6.9</v>
      </c>
      <c r="J44" s="38">
        <v>8.6999999999999993</v>
      </c>
      <c r="K44" s="38">
        <v>12.4</v>
      </c>
      <c r="L44" s="38">
        <v>17</v>
      </c>
      <c r="M44" s="38">
        <v>22.9</v>
      </c>
      <c r="N44" s="38">
        <v>24.4</v>
      </c>
      <c r="O44" s="38">
        <v>25.8</v>
      </c>
      <c r="P44" s="38">
        <v>26.5</v>
      </c>
      <c r="Q44" s="38">
        <v>27.2</v>
      </c>
      <c r="R44" s="38">
        <v>27.3</v>
      </c>
      <c r="S44" s="38">
        <v>27</v>
      </c>
      <c r="T44" s="38">
        <v>27.7</v>
      </c>
      <c r="U44" s="38">
        <v>28</v>
      </c>
      <c r="V44" s="59">
        <v>28.7</v>
      </c>
    </row>
    <row r="45" spans="2:23" x14ac:dyDescent="0.5">
      <c r="B45" s="53" t="s">
        <v>12</v>
      </c>
      <c r="C45" s="89" t="s">
        <v>13</v>
      </c>
      <c r="D45" s="90"/>
      <c r="F45" s="15" t="s">
        <v>4</v>
      </c>
      <c r="G45" s="77" t="s">
        <v>116</v>
      </c>
      <c r="H45" s="26"/>
      <c r="I45" s="49">
        <v>7.3</v>
      </c>
      <c r="J45" s="36">
        <v>9.6999999999999993</v>
      </c>
      <c r="K45" s="36">
        <v>13.4</v>
      </c>
      <c r="L45" s="36">
        <v>18.399999999999999</v>
      </c>
      <c r="M45" s="36">
        <v>24.3</v>
      </c>
      <c r="N45" s="36">
        <v>25.7</v>
      </c>
      <c r="O45" s="36">
        <v>26.8</v>
      </c>
      <c r="P45" s="36">
        <v>27.7</v>
      </c>
      <c r="Q45" s="36">
        <v>28.3</v>
      </c>
      <c r="R45" s="36">
        <v>28.5</v>
      </c>
      <c r="S45" s="36">
        <v>27.8</v>
      </c>
      <c r="T45" s="36">
        <v>28.3</v>
      </c>
      <c r="U45" s="36">
        <v>28.6</v>
      </c>
      <c r="V45" s="58">
        <v>29.2</v>
      </c>
    </row>
    <row r="46" spans="2:23" x14ac:dyDescent="0.5">
      <c r="B46" s="53" t="s">
        <v>110</v>
      </c>
      <c r="C46" s="89" t="s">
        <v>111</v>
      </c>
      <c r="D46" s="90"/>
      <c r="F46" s="16" t="s">
        <v>6</v>
      </c>
      <c r="G46" s="78" t="s">
        <v>69</v>
      </c>
      <c r="H46" s="27"/>
      <c r="I46" s="50">
        <v>9.4</v>
      </c>
      <c r="J46" s="38">
        <v>12</v>
      </c>
      <c r="K46" s="38">
        <v>15.6</v>
      </c>
      <c r="L46" s="38">
        <v>20.100000000000001</v>
      </c>
      <c r="M46" s="38">
        <v>25.9</v>
      </c>
      <c r="N46" s="38">
        <v>26.8</v>
      </c>
      <c r="O46" s="38">
        <v>27.9</v>
      </c>
      <c r="P46" s="38">
        <v>28.6</v>
      </c>
      <c r="Q46" s="38">
        <v>29</v>
      </c>
      <c r="R46" s="38">
        <v>29.2</v>
      </c>
      <c r="S46" s="38">
        <v>28.4</v>
      </c>
      <c r="T46" s="38">
        <v>28.7</v>
      </c>
      <c r="U46" s="38">
        <v>29</v>
      </c>
      <c r="V46" s="59">
        <v>29.3</v>
      </c>
    </row>
    <row r="47" spans="2:23" x14ac:dyDescent="0.5">
      <c r="B47" s="22" t="s">
        <v>114</v>
      </c>
      <c r="C47" s="83" t="s">
        <v>127</v>
      </c>
      <c r="D47" s="84"/>
      <c r="F47" s="15" t="s">
        <v>68</v>
      </c>
      <c r="G47" s="77" t="s">
        <v>70</v>
      </c>
      <c r="H47" s="26"/>
      <c r="I47" s="49">
        <v>11.5</v>
      </c>
      <c r="J47" s="36">
        <v>14</v>
      </c>
      <c r="K47" s="36">
        <v>17.399999999999999</v>
      </c>
      <c r="L47" s="36">
        <v>21.2</v>
      </c>
      <c r="M47" s="36">
        <v>26.8</v>
      </c>
      <c r="N47" s="36">
        <v>27.3</v>
      </c>
      <c r="O47" s="36">
        <v>28</v>
      </c>
      <c r="P47" s="36">
        <v>28.4</v>
      </c>
      <c r="Q47" s="36">
        <v>28.8</v>
      </c>
      <c r="R47" s="36">
        <v>29.2</v>
      </c>
      <c r="S47" s="36">
        <v>28</v>
      </c>
      <c r="T47" s="36">
        <v>28.2</v>
      </c>
      <c r="U47" s="36">
        <v>28.6</v>
      </c>
      <c r="V47" s="58">
        <v>28.9</v>
      </c>
    </row>
    <row r="48" spans="2:23" x14ac:dyDescent="0.5">
      <c r="F48" s="16" t="s">
        <v>7</v>
      </c>
      <c r="G48" s="78" t="s">
        <v>71</v>
      </c>
      <c r="H48" s="27"/>
      <c r="I48" s="50">
        <v>13.4</v>
      </c>
      <c r="J48" s="38">
        <v>15.6</v>
      </c>
      <c r="K48" s="38">
        <v>19</v>
      </c>
      <c r="L48" s="38">
        <v>22.6</v>
      </c>
      <c r="M48" s="38">
        <v>27.3</v>
      </c>
      <c r="N48" s="38">
        <v>27.5</v>
      </c>
      <c r="O48" s="38">
        <v>28</v>
      </c>
      <c r="P48" s="38">
        <v>28.1</v>
      </c>
      <c r="Q48" s="38">
        <v>28.4</v>
      </c>
      <c r="R48" s="38">
        <v>28.8</v>
      </c>
      <c r="S48" s="38">
        <v>27.7</v>
      </c>
      <c r="T48" s="38">
        <v>27.7</v>
      </c>
      <c r="U48" s="38">
        <v>28.1</v>
      </c>
      <c r="V48" s="59">
        <v>28.5</v>
      </c>
    </row>
    <row r="49" spans="2:22" x14ac:dyDescent="0.5">
      <c r="F49" s="15" t="s">
        <v>8</v>
      </c>
      <c r="G49" s="77" t="s">
        <v>72</v>
      </c>
      <c r="H49" s="26"/>
      <c r="I49" s="49">
        <v>17</v>
      </c>
      <c r="J49" s="36">
        <v>18.3</v>
      </c>
      <c r="K49" s="36">
        <v>21</v>
      </c>
      <c r="L49" s="36">
        <v>24.1</v>
      </c>
      <c r="M49" s="36">
        <v>27.9</v>
      </c>
      <c r="N49" s="36">
        <v>27.7</v>
      </c>
      <c r="O49" s="36">
        <v>27.9</v>
      </c>
      <c r="P49" s="36">
        <v>27.9</v>
      </c>
      <c r="Q49" s="36">
        <v>28</v>
      </c>
      <c r="R49" s="36">
        <v>28.2</v>
      </c>
      <c r="S49" s="36">
        <v>26.9</v>
      </c>
      <c r="T49" s="36">
        <v>26.8</v>
      </c>
      <c r="U49" s="36">
        <v>27.1</v>
      </c>
      <c r="V49" s="58">
        <v>27.6</v>
      </c>
    </row>
    <row r="50" spans="2:22" x14ac:dyDescent="0.5">
      <c r="F50" s="16" t="s">
        <v>32</v>
      </c>
      <c r="G50" s="78" t="s">
        <v>73</v>
      </c>
      <c r="H50" s="27"/>
      <c r="I50" s="50">
        <v>18.899999999999999</v>
      </c>
      <c r="J50" s="38">
        <v>19.600000000000001</v>
      </c>
      <c r="K50" s="38">
        <v>21.6</v>
      </c>
      <c r="L50" s="38">
        <v>24.1</v>
      </c>
      <c r="M50" s="38">
        <v>27.4</v>
      </c>
      <c r="N50" s="38">
        <v>27.2</v>
      </c>
      <c r="O50" s="38">
        <v>27.1</v>
      </c>
      <c r="P50" s="38">
        <v>27.1</v>
      </c>
      <c r="Q50" s="38">
        <v>27.1</v>
      </c>
      <c r="R50" s="38">
        <v>27.3</v>
      </c>
      <c r="S50" s="38">
        <v>25.9</v>
      </c>
      <c r="T50" s="38">
        <v>25.8</v>
      </c>
      <c r="U50" s="38">
        <v>26.1</v>
      </c>
      <c r="V50" s="59">
        <v>26.5</v>
      </c>
    </row>
    <row r="51" spans="2:22" x14ac:dyDescent="0.5">
      <c r="F51" s="15" t="s">
        <v>35</v>
      </c>
      <c r="G51" s="77" t="s">
        <v>79</v>
      </c>
      <c r="H51" s="26"/>
      <c r="I51" s="49">
        <v>18.899999999999999</v>
      </c>
      <c r="J51" s="36">
        <v>19.399999999999999</v>
      </c>
      <c r="K51" s="36">
        <v>21.2</v>
      </c>
      <c r="L51" s="36">
        <v>23.5</v>
      </c>
      <c r="M51" s="36">
        <v>26.4</v>
      </c>
      <c r="N51" s="36">
        <v>26.2</v>
      </c>
      <c r="O51" s="36">
        <v>26.1</v>
      </c>
      <c r="P51" s="36">
        <v>26.1</v>
      </c>
      <c r="Q51" s="36">
        <v>26.2</v>
      </c>
      <c r="R51" s="36">
        <v>26.4</v>
      </c>
      <c r="S51" s="36">
        <v>25.1</v>
      </c>
      <c r="T51" s="36">
        <v>24.9</v>
      </c>
      <c r="U51" s="36">
        <v>25.1</v>
      </c>
      <c r="V51" s="58">
        <v>25.4</v>
      </c>
    </row>
    <row r="52" spans="2:22" x14ac:dyDescent="0.5">
      <c r="F52" s="16" t="s">
        <v>41</v>
      </c>
      <c r="G52" s="78" t="s">
        <v>81</v>
      </c>
      <c r="H52" s="27"/>
      <c r="I52" s="50">
        <v>17.5</v>
      </c>
      <c r="J52" s="38">
        <v>18.3</v>
      </c>
      <c r="K52" s="38">
        <v>20</v>
      </c>
      <c r="L52" s="38">
        <v>22</v>
      </c>
      <c r="M52" s="38">
        <v>24.6</v>
      </c>
      <c r="N52" s="38">
        <v>24.6</v>
      </c>
      <c r="O52" s="38">
        <v>24.6</v>
      </c>
      <c r="P52" s="38">
        <v>24.8</v>
      </c>
      <c r="Q52" s="38">
        <v>25.1</v>
      </c>
      <c r="R52" s="38">
        <v>25.2</v>
      </c>
      <c r="S52" s="38">
        <v>24</v>
      </c>
      <c r="T52" s="38">
        <v>23.7</v>
      </c>
      <c r="U52" s="38">
        <v>23.8</v>
      </c>
      <c r="V52" s="59">
        <v>24.1</v>
      </c>
    </row>
    <row r="53" spans="2:22" x14ac:dyDescent="0.5">
      <c r="F53" s="15" t="s">
        <v>50</v>
      </c>
      <c r="G53" s="77">
        <v>10</v>
      </c>
      <c r="H53" s="26"/>
      <c r="I53" s="49">
        <v>16</v>
      </c>
      <c r="J53" s="36">
        <v>17.2</v>
      </c>
      <c r="K53" s="36">
        <v>18.899999999999999</v>
      </c>
      <c r="L53" s="36">
        <v>20.9</v>
      </c>
      <c r="M53" s="36">
        <v>23.3</v>
      </c>
      <c r="N53" s="36">
        <v>23.6</v>
      </c>
      <c r="O53" s="36">
        <v>23.8</v>
      </c>
      <c r="P53" s="36">
        <v>24.1</v>
      </c>
      <c r="Q53" s="36">
        <v>24.3</v>
      </c>
      <c r="R53" s="36">
        <v>24.6</v>
      </c>
      <c r="S53" s="36">
        <v>23.5</v>
      </c>
      <c r="T53" s="36">
        <v>23.2</v>
      </c>
      <c r="U53" s="36">
        <v>23.5</v>
      </c>
      <c r="V53" s="58">
        <v>23.8</v>
      </c>
    </row>
    <row r="54" spans="2:22" x14ac:dyDescent="0.5">
      <c r="F54" s="16" t="s">
        <v>105</v>
      </c>
      <c r="G54" s="78">
        <v>15</v>
      </c>
      <c r="H54" s="27"/>
      <c r="I54" s="50">
        <v>15.5</v>
      </c>
      <c r="J54" s="38">
        <v>16.899999999999999</v>
      </c>
      <c r="K54" s="38">
        <v>18.8</v>
      </c>
      <c r="L54" s="38">
        <v>21.1</v>
      </c>
      <c r="M54" s="38">
        <v>23.9</v>
      </c>
      <c r="N54" s="38">
        <v>24.3</v>
      </c>
      <c r="O54" s="38">
        <v>24.6</v>
      </c>
      <c r="P54" s="38">
        <v>25</v>
      </c>
      <c r="Q54" s="38">
        <v>25.4</v>
      </c>
      <c r="R54" s="38">
        <v>25.6</v>
      </c>
      <c r="S54" s="38">
        <v>24.2</v>
      </c>
      <c r="T54" s="38">
        <v>23.3</v>
      </c>
      <c r="U54" s="38">
        <v>23.4</v>
      </c>
      <c r="V54" s="59">
        <v>23.9</v>
      </c>
    </row>
    <row r="55" spans="2:22" x14ac:dyDescent="0.5">
      <c r="F55" s="15" t="s">
        <v>106</v>
      </c>
      <c r="G55" s="77" t="s">
        <v>87</v>
      </c>
      <c r="H55" s="26"/>
      <c r="I55" s="49">
        <v>15.8</v>
      </c>
      <c r="J55" s="36">
        <v>17.600000000000001</v>
      </c>
      <c r="K55" s="36">
        <v>19.600000000000001</v>
      </c>
      <c r="L55" s="36">
        <v>22</v>
      </c>
      <c r="M55" s="36">
        <v>25.2</v>
      </c>
      <c r="N55" s="36">
        <v>25.5</v>
      </c>
      <c r="O55" s="36">
        <v>25.8</v>
      </c>
      <c r="P55" s="36">
        <v>26</v>
      </c>
      <c r="Q55" s="36">
        <v>26.3</v>
      </c>
      <c r="R55" s="36">
        <v>26.5</v>
      </c>
      <c r="S55" s="36">
        <v>24.7</v>
      </c>
      <c r="T55" s="36">
        <v>23.4</v>
      </c>
      <c r="U55" s="36">
        <v>23.7</v>
      </c>
      <c r="V55" s="58">
        <v>24.1</v>
      </c>
    </row>
    <row r="56" spans="2:22" x14ac:dyDescent="0.5">
      <c r="F56" s="16" t="s">
        <v>107</v>
      </c>
      <c r="G56" s="78" t="s">
        <v>88</v>
      </c>
      <c r="H56" s="27"/>
      <c r="I56" s="50">
        <v>16</v>
      </c>
      <c r="J56" s="38">
        <v>17.600000000000001</v>
      </c>
      <c r="K56" s="38">
        <v>19.7</v>
      </c>
      <c r="L56" s="38">
        <v>22.2</v>
      </c>
      <c r="M56" s="38">
        <v>25.4</v>
      </c>
      <c r="N56" s="38">
        <v>25.6</v>
      </c>
      <c r="O56" s="38">
        <v>25.7</v>
      </c>
      <c r="P56" s="38">
        <v>25.7</v>
      </c>
      <c r="Q56" s="38">
        <v>26</v>
      </c>
      <c r="R56" s="38">
        <v>26.1</v>
      </c>
      <c r="S56" s="38">
        <v>24.5</v>
      </c>
      <c r="T56" s="38">
        <v>23.5</v>
      </c>
      <c r="U56" s="38">
        <v>23.9</v>
      </c>
      <c r="V56" s="59">
        <v>23.8</v>
      </c>
    </row>
    <row r="57" spans="2:22" x14ac:dyDescent="0.5">
      <c r="F57" s="17" t="s">
        <v>108</v>
      </c>
      <c r="G57" s="79" t="s">
        <v>89</v>
      </c>
      <c r="H57" s="28"/>
      <c r="I57" s="51">
        <v>15.4</v>
      </c>
      <c r="J57" s="39">
        <v>17.100000000000001</v>
      </c>
      <c r="K57" s="39">
        <v>19</v>
      </c>
      <c r="L57" s="39">
        <v>21.4</v>
      </c>
      <c r="M57" s="39">
        <v>24.5</v>
      </c>
      <c r="N57" s="39">
        <v>24.6</v>
      </c>
      <c r="O57" s="39">
        <v>24.8</v>
      </c>
      <c r="P57" s="39">
        <v>24.9</v>
      </c>
      <c r="Q57" s="39">
        <v>25.2</v>
      </c>
      <c r="R57" s="39">
        <v>25.5</v>
      </c>
      <c r="S57" s="39">
        <v>24.5</v>
      </c>
      <c r="T57" s="39">
        <v>23.5</v>
      </c>
      <c r="U57" s="39">
        <v>23.2</v>
      </c>
      <c r="V57" s="60">
        <v>23</v>
      </c>
    </row>
    <row r="59" spans="2:22" x14ac:dyDescent="0.5">
      <c r="F59" s="13" t="s">
        <v>0</v>
      </c>
      <c r="G59" s="74"/>
      <c r="H59" s="24"/>
      <c r="I59" s="18" t="s">
        <v>6</v>
      </c>
      <c r="J59" s="4" t="s">
        <v>7</v>
      </c>
      <c r="K59" s="5" t="s">
        <v>8</v>
      </c>
      <c r="L59" s="4" t="s">
        <v>32</v>
      </c>
      <c r="M59" s="5" t="s">
        <v>35</v>
      </c>
      <c r="N59" s="4" t="s">
        <v>38</v>
      </c>
      <c r="O59" s="5" t="s">
        <v>41</v>
      </c>
      <c r="P59" s="4" t="s">
        <v>44</v>
      </c>
      <c r="Q59" s="5" t="s">
        <v>47</v>
      </c>
      <c r="R59" s="4" t="s">
        <v>50</v>
      </c>
      <c r="S59" s="5" t="s">
        <v>105</v>
      </c>
      <c r="T59" s="5" t="s">
        <v>106</v>
      </c>
      <c r="U59" s="5" t="s">
        <v>107</v>
      </c>
      <c r="V59" s="68" t="s">
        <v>108</v>
      </c>
    </row>
    <row r="60" spans="2:22" hidden="1" x14ac:dyDescent="0.5">
      <c r="F60" s="29"/>
      <c r="G60" s="75"/>
      <c r="H60" s="30"/>
      <c r="I60" s="66" t="s">
        <v>69</v>
      </c>
      <c r="J60" s="67" t="s">
        <v>71</v>
      </c>
      <c r="K60" s="57" t="s">
        <v>72</v>
      </c>
      <c r="L60" s="67" t="s">
        <v>73</v>
      </c>
      <c r="M60" s="57" t="s">
        <v>79</v>
      </c>
      <c r="N60" s="67" t="s">
        <v>80</v>
      </c>
      <c r="O60" s="57" t="s">
        <v>81</v>
      </c>
      <c r="P60" s="67" t="s">
        <v>82</v>
      </c>
      <c r="Q60" s="57" t="s">
        <v>83</v>
      </c>
      <c r="R60" s="67" t="s">
        <v>84</v>
      </c>
      <c r="S60" s="33">
        <v>15</v>
      </c>
      <c r="T60" s="33">
        <v>20</v>
      </c>
      <c r="U60" s="33">
        <v>25</v>
      </c>
      <c r="V60" s="69">
        <v>30</v>
      </c>
    </row>
    <row r="61" spans="2:22" x14ac:dyDescent="0.5">
      <c r="B61" s="73" t="s">
        <v>126</v>
      </c>
      <c r="F61" s="14" t="s">
        <v>1</v>
      </c>
      <c r="G61" s="76" t="s">
        <v>100</v>
      </c>
      <c r="H61" s="25"/>
      <c r="I61" s="48">
        <v>3</v>
      </c>
      <c r="J61" s="41">
        <v>2.65</v>
      </c>
      <c r="K61" s="41">
        <v>2.2999999999999998</v>
      </c>
      <c r="L61" s="41">
        <v>1.95</v>
      </c>
      <c r="M61" s="41">
        <v>1.6</v>
      </c>
      <c r="N61" s="41">
        <v>1.58</v>
      </c>
      <c r="O61" s="41">
        <v>1.56</v>
      </c>
      <c r="P61" s="41">
        <v>1.54</v>
      </c>
      <c r="Q61" s="41">
        <v>1.52</v>
      </c>
      <c r="R61" s="41">
        <v>1.5</v>
      </c>
      <c r="S61" s="41">
        <v>1.5</v>
      </c>
      <c r="T61" s="41">
        <v>1.5</v>
      </c>
      <c r="U61" s="41">
        <v>1.5</v>
      </c>
      <c r="V61" s="44">
        <v>1.5</v>
      </c>
    </row>
    <row r="62" spans="2:22" x14ac:dyDescent="0.5">
      <c r="B62" s="52" t="s">
        <v>9</v>
      </c>
      <c r="C62" s="85" t="s">
        <v>128</v>
      </c>
      <c r="D62" s="86"/>
      <c r="F62" s="15" t="s">
        <v>2</v>
      </c>
      <c r="G62" s="77" t="s">
        <v>101</v>
      </c>
      <c r="H62" s="26"/>
      <c r="I62" s="49">
        <v>3</v>
      </c>
      <c r="J62" s="43">
        <v>2.65</v>
      </c>
      <c r="K62" s="43">
        <v>2.2999999999999998</v>
      </c>
      <c r="L62" s="43">
        <v>1.95</v>
      </c>
      <c r="M62" s="43">
        <v>1.6</v>
      </c>
      <c r="N62" s="43">
        <v>1.58</v>
      </c>
      <c r="O62" s="43">
        <v>1.56</v>
      </c>
      <c r="P62" s="43">
        <v>1.54</v>
      </c>
      <c r="Q62" s="43">
        <v>1.52</v>
      </c>
      <c r="R62" s="43">
        <v>1.5</v>
      </c>
      <c r="S62" s="43">
        <v>1.5</v>
      </c>
      <c r="T62" s="43">
        <v>1.5</v>
      </c>
      <c r="U62" s="43">
        <v>1.5</v>
      </c>
      <c r="V62" s="70">
        <v>1.5</v>
      </c>
    </row>
    <row r="63" spans="2:22" x14ac:dyDescent="0.5">
      <c r="B63" s="55" t="s">
        <v>11</v>
      </c>
      <c r="C63" s="85" t="s">
        <v>74</v>
      </c>
      <c r="D63" s="86"/>
      <c r="F63" s="16" t="s">
        <v>3</v>
      </c>
      <c r="G63" s="78" t="s">
        <v>122</v>
      </c>
      <c r="H63" s="27"/>
      <c r="I63" s="50">
        <v>3</v>
      </c>
      <c r="J63" s="45">
        <v>2.65</v>
      </c>
      <c r="K63" s="45">
        <v>2.2999999999999998</v>
      </c>
      <c r="L63" s="45">
        <v>1.95</v>
      </c>
      <c r="M63" s="45">
        <v>1.6</v>
      </c>
      <c r="N63" s="45">
        <v>1.58</v>
      </c>
      <c r="O63" s="45">
        <v>1.56</v>
      </c>
      <c r="P63" s="45">
        <v>1.54</v>
      </c>
      <c r="Q63" s="45">
        <v>1.52</v>
      </c>
      <c r="R63" s="45">
        <v>1.5</v>
      </c>
      <c r="S63" s="45">
        <v>1.5</v>
      </c>
      <c r="T63" s="45">
        <v>1.5</v>
      </c>
      <c r="U63" s="45">
        <v>1.5</v>
      </c>
      <c r="V63" s="71">
        <v>1.5</v>
      </c>
    </row>
    <row r="64" spans="2:22" x14ac:dyDescent="0.5">
      <c r="B64" s="53" t="s">
        <v>12</v>
      </c>
      <c r="C64" s="89" t="s">
        <v>13</v>
      </c>
      <c r="D64" s="90"/>
      <c r="F64" s="15" t="s">
        <v>4</v>
      </c>
      <c r="G64" s="77" t="s">
        <v>116</v>
      </c>
      <c r="H64" s="26"/>
      <c r="I64" s="49">
        <v>3</v>
      </c>
      <c r="J64" s="43">
        <v>2.65</v>
      </c>
      <c r="K64" s="43">
        <v>2.2999999999999998</v>
      </c>
      <c r="L64" s="43">
        <v>1.95</v>
      </c>
      <c r="M64" s="43">
        <v>1.6</v>
      </c>
      <c r="N64" s="43">
        <v>1.58</v>
      </c>
      <c r="O64" s="43">
        <v>1.56</v>
      </c>
      <c r="P64" s="43">
        <v>1.54</v>
      </c>
      <c r="Q64" s="43">
        <v>1.52</v>
      </c>
      <c r="R64" s="43">
        <v>1.5</v>
      </c>
      <c r="S64" s="43">
        <v>1.5</v>
      </c>
      <c r="T64" s="43">
        <v>1.5</v>
      </c>
      <c r="U64" s="43">
        <v>1.5</v>
      </c>
      <c r="V64" s="70">
        <v>1.5</v>
      </c>
    </row>
    <row r="65" spans="2:22" x14ac:dyDescent="0.5">
      <c r="B65" s="53"/>
      <c r="C65" s="89"/>
      <c r="D65" s="90"/>
      <c r="F65" s="16" t="s">
        <v>6</v>
      </c>
      <c r="G65" s="78" t="s">
        <v>69</v>
      </c>
      <c r="H65" s="27"/>
      <c r="I65" s="50">
        <v>3</v>
      </c>
      <c r="J65" s="45">
        <v>2.65</v>
      </c>
      <c r="K65" s="45">
        <v>2.2999999999999998</v>
      </c>
      <c r="L65" s="45">
        <v>1.95</v>
      </c>
      <c r="M65" s="45">
        <v>1.6</v>
      </c>
      <c r="N65" s="45">
        <v>1.58</v>
      </c>
      <c r="O65" s="45">
        <v>1.56</v>
      </c>
      <c r="P65" s="45">
        <v>1.54</v>
      </c>
      <c r="Q65" s="45">
        <v>1.52</v>
      </c>
      <c r="R65" s="45">
        <v>1.5</v>
      </c>
      <c r="S65" s="45">
        <v>1.5</v>
      </c>
      <c r="T65" s="45">
        <v>1.5</v>
      </c>
      <c r="U65" s="45">
        <v>1.5</v>
      </c>
      <c r="V65" s="71">
        <v>1.5</v>
      </c>
    </row>
    <row r="66" spans="2:22" x14ac:dyDescent="0.5">
      <c r="B66" s="22"/>
      <c r="C66" s="83"/>
      <c r="D66" s="84"/>
      <c r="F66" s="15" t="s">
        <v>68</v>
      </c>
      <c r="G66" s="77" t="s">
        <v>70</v>
      </c>
      <c r="H66" s="26"/>
      <c r="I66" s="49">
        <v>3</v>
      </c>
      <c r="J66" s="43">
        <v>2.65</v>
      </c>
      <c r="K66" s="43">
        <v>2.2999999999999998</v>
      </c>
      <c r="L66" s="43">
        <v>1.95</v>
      </c>
      <c r="M66" s="43">
        <v>1.6</v>
      </c>
      <c r="N66" s="43">
        <v>1.58</v>
      </c>
      <c r="O66" s="43">
        <v>1.56</v>
      </c>
      <c r="P66" s="43">
        <v>1.54</v>
      </c>
      <c r="Q66" s="43">
        <v>1.52</v>
      </c>
      <c r="R66" s="43">
        <v>1.5</v>
      </c>
      <c r="S66" s="43">
        <v>1.5</v>
      </c>
      <c r="T66" s="43">
        <v>1.5</v>
      </c>
      <c r="U66" s="43">
        <v>1.5</v>
      </c>
      <c r="V66" s="70">
        <v>1.5</v>
      </c>
    </row>
    <row r="67" spans="2:22" x14ac:dyDescent="0.5">
      <c r="F67" s="16" t="s">
        <v>7</v>
      </c>
      <c r="G67" s="78" t="s">
        <v>71</v>
      </c>
      <c r="H67" s="27"/>
      <c r="I67" s="50">
        <v>3</v>
      </c>
      <c r="J67" s="45">
        <v>2.65</v>
      </c>
      <c r="K67" s="45">
        <v>2.2999999999999998</v>
      </c>
      <c r="L67" s="45">
        <v>1.95</v>
      </c>
      <c r="M67" s="45">
        <v>1.6</v>
      </c>
      <c r="N67" s="45">
        <v>1.58</v>
      </c>
      <c r="O67" s="45">
        <v>1.56</v>
      </c>
      <c r="P67" s="45">
        <v>1.54</v>
      </c>
      <c r="Q67" s="45">
        <v>1.52</v>
      </c>
      <c r="R67" s="45">
        <v>1.5</v>
      </c>
      <c r="S67" s="45">
        <v>1.5</v>
      </c>
      <c r="T67" s="45">
        <v>1.5</v>
      </c>
      <c r="U67" s="45">
        <v>1.5</v>
      </c>
      <c r="V67" s="71">
        <v>1.5</v>
      </c>
    </row>
    <row r="68" spans="2:22" x14ac:dyDescent="0.5">
      <c r="F68" s="15" t="s">
        <v>8</v>
      </c>
      <c r="G68" s="77" t="s">
        <v>72</v>
      </c>
      <c r="H68" s="26"/>
      <c r="I68" s="49">
        <v>3</v>
      </c>
      <c r="J68" s="43">
        <v>2.65</v>
      </c>
      <c r="K68" s="43">
        <v>2.2999999999999998</v>
      </c>
      <c r="L68" s="43">
        <v>1.95</v>
      </c>
      <c r="M68" s="43">
        <v>1.6</v>
      </c>
      <c r="N68" s="43">
        <v>1.58</v>
      </c>
      <c r="O68" s="43">
        <v>1.56</v>
      </c>
      <c r="P68" s="43">
        <v>1.54</v>
      </c>
      <c r="Q68" s="43">
        <v>1.52</v>
      </c>
      <c r="R68" s="43">
        <v>1.5</v>
      </c>
      <c r="S68" s="43">
        <v>1.5</v>
      </c>
      <c r="T68" s="43">
        <v>1.5</v>
      </c>
      <c r="U68" s="43">
        <v>1.5</v>
      </c>
      <c r="V68" s="70">
        <v>1.5</v>
      </c>
    </row>
    <row r="69" spans="2:22" x14ac:dyDescent="0.5">
      <c r="F69" s="16" t="s">
        <v>32</v>
      </c>
      <c r="G69" s="78" t="s">
        <v>73</v>
      </c>
      <c r="H69" s="27"/>
      <c r="I69" s="50">
        <v>3</v>
      </c>
      <c r="J69" s="45">
        <v>2.65</v>
      </c>
      <c r="K69" s="45">
        <v>2.2999999999999998</v>
      </c>
      <c r="L69" s="45">
        <v>1.95</v>
      </c>
      <c r="M69" s="45">
        <v>1.6</v>
      </c>
      <c r="N69" s="45">
        <v>1.58</v>
      </c>
      <c r="O69" s="45">
        <v>1.56</v>
      </c>
      <c r="P69" s="45">
        <v>1.54</v>
      </c>
      <c r="Q69" s="45">
        <v>1.52</v>
      </c>
      <c r="R69" s="45">
        <v>1.5</v>
      </c>
      <c r="S69" s="45">
        <v>1.5</v>
      </c>
      <c r="T69" s="45">
        <v>1.5</v>
      </c>
      <c r="U69" s="45">
        <v>1.5</v>
      </c>
      <c r="V69" s="71">
        <v>1.5</v>
      </c>
    </row>
    <row r="70" spans="2:22" x14ac:dyDescent="0.5">
      <c r="F70" s="15" t="s">
        <v>35</v>
      </c>
      <c r="G70" s="77" t="s">
        <v>79</v>
      </c>
      <c r="H70" s="26"/>
      <c r="I70" s="49">
        <v>3</v>
      </c>
      <c r="J70" s="43">
        <v>2.65</v>
      </c>
      <c r="K70" s="43">
        <v>2.2999999999999998</v>
      </c>
      <c r="L70" s="43">
        <v>1.95</v>
      </c>
      <c r="M70" s="43">
        <v>1.6</v>
      </c>
      <c r="N70" s="43">
        <v>1.58</v>
      </c>
      <c r="O70" s="43">
        <v>1.56</v>
      </c>
      <c r="P70" s="43">
        <v>1.54</v>
      </c>
      <c r="Q70" s="43">
        <v>1.52</v>
      </c>
      <c r="R70" s="43">
        <v>1.5</v>
      </c>
      <c r="S70" s="43">
        <v>1.5</v>
      </c>
      <c r="T70" s="43">
        <v>1.5</v>
      </c>
      <c r="U70" s="43">
        <v>1.5</v>
      </c>
      <c r="V70" s="70">
        <v>1.5</v>
      </c>
    </row>
    <row r="71" spans="2:22" x14ac:dyDescent="0.5">
      <c r="F71" s="16" t="s">
        <v>41</v>
      </c>
      <c r="G71" s="78" t="s">
        <v>81</v>
      </c>
      <c r="H71" s="27"/>
      <c r="I71" s="50">
        <v>3</v>
      </c>
      <c r="J71" s="45">
        <v>2.65</v>
      </c>
      <c r="K71" s="45">
        <v>2.2999999999999998</v>
      </c>
      <c r="L71" s="45">
        <v>1.95</v>
      </c>
      <c r="M71" s="45">
        <v>1.6</v>
      </c>
      <c r="N71" s="45">
        <v>1.58</v>
      </c>
      <c r="O71" s="45">
        <v>1.56</v>
      </c>
      <c r="P71" s="45">
        <v>1.54</v>
      </c>
      <c r="Q71" s="45">
        <v>1.52</v>
      </c>
      <c r="R71" s="45">
        <v>1.5</v>
      </c>
      <c r="S71" s="45">
        <v>1.5</v>
      </c>
      <c r="T71" s="45">
        <v>1.5</v>
      </c>
      <c r="U71" s="45">
        <v>1.5</v>
      </c>
      <c r="V71" s="71">
        <v>1.5</v>
      </c>
    </row>
    <row r="72" spans="2:22" x14ac:dyDescent="0.5">
      <c r="F72" s="15" t="s">
        <v>50</v>
      </c>
      <c r="G72" s="77">
        <v>10</v>
      </c>
      <c r="H72" s="26"/>
      <c r="I72" s="49">
        <v>3</v>
      </c>
      <c r="J72" s="43">
        <v>2.65</v>
      </c>
      <c r="K72" s="43">
        <v>2.2999999999999998</v>
      </c>
      <c r="L72" s="43">
        <v>1.95</v>
      </c>
      <c r="M72" s="43">
        <v>1.6</v>
      </c>
      <c r="N72" s="43">
        <v>1.58</v>
      </c>
      <c r="O72" s="43">
        <v>1.56</v>
      </c>
      <c r="P72" s="43">
        <v>1.54</v>
      </c>
      <c r="Q72" s="43">
        <v>1.52</v>
      </c>
      <c r="R72" s="43">
        <v>1.5</v>
      </c>
      <c r="S72" s="43">
        <v>1.5</v>
      </c>
      <c r="T72" s="43">
        <v>1.5</v>
      </c>
      <c r="U72" s="43">
        <v>1.5</v>
      </c>
      <c r="V72" s="70">
        <v>1.5</v>
      </c>
    </row>
    <row r="73" spans="2:22" x14ac:dyDescent="0.5">
      <c r="F73" s="16" t="s">
        <v>105</v>
      </c>
      <c r="G73" s="78">
        <v>15</v>
      </c>
      <c r="H73" s="27"/>
      <c r="I73" s="50">
        <v>3</v>
      </c>
      <c r="J73" s="45">
        <v>2.65</v>
      </c>
      <c r="K73" s="45">
        <v>2.2999999999999998</v>
      </c>
      <c r="L73" s="45">
        <v>1.95</v>
      </c>
      <c r="M73" s="45">
        <v>1.6</v>
      </c>
      <c r="N73" s="45">
        <v>1.58</v>
      </c>
      <c r="O73" s="45">
        <v>1.56</v>
      </c>
      <c r="P73" s="45">
        <v>1.54</v>
      </c>
      <c r="Q73" s="45">
        <v>1.52</v>
      </c>
      <c r="R73" s="45">
        <v>1.5</v>
      </c>
      <c r="S73" s="45">
        <v>1.5</v>
      </c>
      <c r="T73" s="45">
        <v>1.5</v>
      </c>
      <c r="U73" s="45">
        <v>1.5</v>
      </c>
      <c r="V73" s="71">
        <v>1.5</v>
      </c>
    </row>
    <row r="74" spans="2:22" x14ac:dyDescent="0.5">
      <c r="F74" s="15" t="s">
        <v>106</v>
      </c>
      <c r="G74" s="77" t="s">
        <v>87</v>
      </c>
      <c r="H74" s="26"/>
      <c r="I74" s="49">
        <v>3</v>
      </c>
      <c r="J74" s="43">
        <v>2.65</v>
      </c>
      <c r="K74" s="43">
        <v>2.2999999999999998</v>
      </c>
      <c r="L74" s="43">
        <v>1.95</v>
      </c>
      <c r="M74" s="43">
        <v>1.6</v>
      </c>
      <c r="N74" s="43">
        <v>1.58</v>
      </c>
      <c r="O74" s="43">
        <v>1.56</v>
      </c>
      <c r="P74" s="43">
        <v>1.54</v>
      </c>
      <c r="Q74" s="43">
        <v>1.52</v>
      </c>
      <c r="R74" s="43">
        <v>1.5</v>
      </c>
      <c r="S74" s="43">
        <v>1.5</v>
      </c>
      <c r="T74" s="43">
        <v>1.5</v>
      </c>
      <c r="U74" s="43">
        <v>1.5</v>
      </c>
      <c r="V74" s="70">
        <v>1.5</v>
      </c>
    </row>
    <row r="75" spans="2:22" x14ac:dyDescent="0.5">
      <c r="F75" s="16" t="s">
        <v>107</v>
      </c>
      <c r="G75" s="78" t="s">
        <v>88</v>
      </c>
      <c r="H75" s="27"/>
      <c r="I75" s="50">
        <v>3</v>
      </c>
      <c r="J75" s="45">
        <v>2.65</v>
      </c>
      <c r="K75" s="45">
        <v>2.2999999999999998</v>
      </c>
      <c r="L75" s="45">
        <v>1.95</v>
      </c>
      <c r="M75" s="45">
        <v>1.6</v>
      </c>
      <c r="N75" s="45">
        <v>1.58</v>
      </c>
      <c r="O75" s="45">
        <v>1.56</v>
      </c>
      <c r="P75" s="45">
        <v>1.54</v>
      </c>
      <c r="Q75" s="45">
        <v>1.52</v>
      </c>
      <c r="R75" s="45">
        <v>1.5</v>
      </c>
      <c r="S75" s="45">
        <v>1.5</v>
      </c>
      <c r="T75" s="45">
        <v>1.5</v>
      </c>
      <c r="U75" s="45">
        <v>1.5</v>
      </c>
      <c r="V75" s="71">
        <v>1.5</v>
      </c>
    </row>
    <row r="76" spans="2:22" x14ac:dyDescent="0.5">
      <c r="F76" s="17" t="s">
        <v>108</v>
      </c>
      <c r="G76" s="79" t="s">
        <v>89</v>
      </c>
      <c r="H76" s="28"/>
      <c r="I76" s="51">
        <v>3</v>
      </c>
      <c r="J76" s="47">
        <v>2.65</v>
      </c>
      <c r="K76" s="47">
        <v>2.2999999999999998</v>
      </c>
      <c r="L76" s="47">
        <v>1.95</v>
      </c>
      <c r="M76" s="47">
        <v>1.6</v>
      </c>
      <c r="N76" s="47">
        <v>1.58</v>
      </c>
      <c r="O76" s="47">
        <v>1.56</v>
      </c>
      <c r="P76" s="47">
        <v>1.54</v>
      </c>
      <c r="Q76" s="47">
        <v>1.52</v>
      </c>
      <c r="R76" s="47">
        <v>1.5</v>
      </c>
      <c r="S76" s="47">
        <v>1.5</v>
      </c>
      <c r="T76" s="47">
        <v>1.5</v>
      </c>
      <c r="U76" s="47">
        <v>1.5</v>
      </c>
      <c r="V76" s="72">
        <v>1.5</v>
      </c>
    </row>
    <row r="79" spans="2:22" x14ac:dyDescent="0.5">
      <c r="B79" s="21" t="s">
        <v>17</v>
      </c>
      <c r="C79" s="91" t="s">
        <v>62</v>
      </c>
      <c r="D79" s="92"/>
      <c r="F79" s="11" t="s">
        <v>23</v>
      </c>
      <c r="G79" s="23"/>
      <c r="H79" s="23"/>
      <c r="I79" s="3"/>
      <c r="J79" s="3" t="s">
        <v>63</v>
      </c>
      <c r="K79" s="3"/>
      <c r="L79" s="3"/>
      <c r="M79" s="3" t="s">
        <v>23</v>
      </c>
      <c r="N79" s="3" t="s">
        <v>24</v>
      </c>
      <c r="O79" s="12"/>
    </row>
    <row r="80" spans="2:22" x14ac:dyDescent="0.5">
      <c r="B80" s="20" t="s">
        <v>18</v>
      </c>
      <c r="C80" s="2" t="s">
        <v>19</v>
      </c>
      <c r="D80" s="9">
        <v>2</v>
      </c>
      <c r="F80" s="10" t="s">
        <v>26</v>
      </c>
      <c r="G80" s="10"/>
      <c r="H80" s="10"/>
      <c r="I80" s="1" t="s">
        <v>27</v>
      </c>
      <c r="J80" s="1">
        <v>-0.33</v>
      </c>
      <c r="M80" s="10" t="s">
        <v>6</v>
      </c>
      <c r="N80" s="1" t="s">
        <v>25</v>
      </c>
      <c r="O80" s="1">
        <v>-0.15</v>
      </c>
      <c r="Q80" s="1" t="s">
        <v>66</v>
      </c>
      <c r="S80" s="19" t="s">
        <v>64</v>
      </c>
    </row>
    <row r="81" spans="2:19" x14ac:dyDescent="0.5">
      <c r="B81" s="20" t="s">
        <v>20</v>
      </c>
      <c r="C81" s="87">
        <v>2</v>
      </c>
      <c r="D81" s="88"/>
      <c r="F81" s="10" t="s">
        <v>16</v>
      </c>
      <c r="G81" s="10"/>
      <c r="H81" s="10"/>
      <c r="I81" s="1" t="s">
        <v>29</v>
      </c>
      <c r="J81" s="1">
        <v>-0.35799999999999998</v>
      </c>
      <c r="M81" s="10" t="s">
        <v>7</v>
      </c>
      <c r="N81" s="1" t="s">
        <v>28</v>
      </c>
      <c r="O81" s="1">
        <v>-0.161</v>
      </c>
      <c r="Q81" s="1" t="s">
        <v>67</v>
      </c>
      <c r="S81" s="19" t="s">
        <v>65</v>
      </c>
    </row>
    <row r="82" spans="2:19" x14ac:dyDescent="0.5">
      <c r="B82" s="20" t="s">
        <v>21</v>
      </c>
      <c r="C82" s="87" t="s">
        <v>22</v>
      </c>
      <c r="D82" s="88"/>
      <c r="F82" s="10" t="s">
        <v>14</v>
      </c>
      <c r="G82" s="10"/>
      <c r="H82" s="10"/>
      <c r="I82" s="1" t="s">
        <v>31</v>
      </c>
      <c r="J82" s="1">
        <v>-0.35099999999999998</v>
      </c>
      <c r="K82" s="19"/>
      <c r="M82" s="10" t="s">
        <v>8</v>
      </c>
      <c r="N82" s="1" t="s">
        <v>30</v>
      </c>
      <c r="O82" s="1">
        <v>-0.13700000000000001</v>
      </c>
    </row>
    <row r="83" spans="2:19" x14ac:dyDescent="0.5">
      <c r="F83" s="10" t="s">
        <v>1</v>
      </c>
      <c r="G83" s="10"/>
      <c r="H83" s="10"/>
      <c r="I83" s="1" t="s">
        <v>34</v>
      </c>
      <c r="J83" s="1">
        <v>-0.33900000000000002</v>
      </c>
      <c r="K83" s="19"/>
      <c r="M83" s="10" t="s">
        <v>32</v>
      </c>
      <c r="N83" s="1" t="s">
        <v>33</v>
      </c>
      <c r="O83" s="1">
        <v>-8.1000000000000003E-2</v>
      </c>
    </row>
    <row r="84" spans="2:19" x14ac:dyDescent="0.5">
      <c r="F84" s="10" t="s">
        <v>2</v>
      </c>
      <c r="G84" s="10"/>
      <c r="H84" s="10"/>
      <c r="I84" s="1" t="s">
        <v>37</v>
      </c>
      <c r="J84" s="1">
        <v>-0.28799999999999998</v>
      </c>
      <c r="K84" s="19"/>
      <c r="M84" s="10" t="s">
        <v>35</v>
      </c>
      <c r="N84" s="1" t="s">
        <v>36</v>
      </c>
      <c r="O84" s="1">
        <v>-7.0000000000000001E-3</v>
      </c>
    </row>
    <row r="85" spans="2:19" x14ac:dyDescent="0.5">
      <c r="F85" s="10" t="s">
        <v>3</v>
      </c>
      <c r="G85" s="10"/>
      <c r="H85" s="10"/>
      <c r="I85" s="1" t="s">
        <v>40</v>
      </c>
      <c r="J85" s="1">
        <v>-0.248</v>
      </c>
      <c r="K85" s="19"/>
      <c r="M85" s="10" t="s">
        <v>38</v>
      </c>
      <c r="N85" s="1" t="s">
        <v>39</v>
      </c>
      <c r="O85" s="1">
        <v>8.5000000000000006E-2</v>
      </c>
    </row>
    <row r="86" spans="2:19" x14ac:dyDescent="0.5">
      <c r="F86" s="10" t="s">
        <v>4</v>
      </c>
      <c r="G86" s="10"/>
      <c r="H86" s="10"/>
      <c r="I86" s="1" t="s">
        <v>43</v>
      </c>
      <c r="J86" s="1">
        <v>-0.13400000000000001</v>
      </c>
      <c r="K86" s="19"/>
      <c r="M86" s="10" t="s">
        <v>41</v>
      </c>
      <c r="N86" s="1" t="s">
        <v>42</v>
      </c>
      <c r="O86" s="1">
        <v>0.192</v>
      </c>
    </row>
    <row r="87" spans="2:19" x14ac:dyDescent="0.5">
      <c r="F87" s="10" t="s">
        <v>5</v>
      </c>
      <c r="G87" s="10"/>
      <c r="H87" s="10"/>
      <c r="I87" s="1" t="s">
        <v>46</v>
      </c>
      <c r="J87" s="1">
        <v>-7.1999999999999995E-2</v>
      </c>
      <c r="K87" s="19"/>
      <c r="M87" s="10" t="s">
        <v>44</v>
      </c>
      <c r="N87" s="1" t="s">
        <v>45</v>
      </c>
      <c r="O87" s="1">
        <v>0.30199999999999999</v>
      </c>
    </row>
    <row r="88" spans="2:19" x14ac:dyDescent="0.5">
      <c r="F88" s="10" t="s">
        <v>15</v>
      </c>
      <c r="G88" s="10"/>
      <c r="H88" s="10"/>
      <c r="I88" s="1" t="s">
        <v>49</v>
      </c>
      <c r="J88" s="1">
        <v>-0.01</v>
      </c>
      <c r="K88" s="19"/>
      <c r="M88" s="10" t="s">
        <v>47</v>
      </c>
      <c r="N88" s="1" t="s">
        <v>48</v>
      </c>
      <c r="O88" s="1">
        <v>0.40600000000000003</v>
      </c>
    </row>
    <row r="89" spans="2:19" x14ac:dyDescent="0.5">
      <c r="M89" s="10" t="s">
        <v>50</v>
      </c>
      <c r="N89" s="1" t="s">
        <v>51</v>
      </c>
      <c r="O89" s="1">
        <v>0.502</v>
      </c>
    </row>
    <row r="90" spans="2:19" x14ac:dyDescent="0.5">
      <c r="M90" s="10" t="s">
        <v>52</v>
      </c>
      <c r="N90" s="1" t="s">
        <v>53</v>
      </c>
      <c r="O90" s="1">
        <v>0.66600000000000004</v>
      </c>
    </row>
    <row r="91" spans="2:19" x14ac:dyDescent="0.5">
      <c r="M91" s="10" t="s">
        <v>54</v>
      </c>
      <c r="N91" s="1" t="s">
        <v>55</v>
      </c>
      <c r="O91" s="1">
        <v>0.83699999999999997</v>
      </c>
    </row>
    <row r="92" spans="2:19" x14ac:dyDescent="0.5">
      <c r="M92" s="10" t="s">
        <v>56</v>
      </c>
      <c r="N92" s="1" t="s">
        <v>57</v>
      </c>
      <c r="O92" s="1">
        <v>0.96299999999999997</v>
      </c>
    </row>
    <row r="93" spans="2:19" x14ac:dyDescent="0.5">
      <c r="M93" s="10" t="s">
        <v>58</v>
      </c>
      <c r="N93" s="1" t="s">
        <v>59</v>
      </c>
      <c r="O93" s="1">
        <v>0.99199999999999999</v>
      </c>
    </row>
    <row r="94" spans="2:19" x14ac:dyDescent="0.5">
      <c r="M94" s="10" t="s">
        <v>60</v>
      </c>
      <c r="N94" s="1" t="s">
        <v>61</v>
      </c>
      <c r="O94" s="1">
        <v>0.99</v>
      </c>
    </row>
  </sheetData>
  <mergeCells count="19">
    <mergeCell ref="C5:D5"/>
    <mergeCell ref="C6:D6"/>
    <mergeCell ref="C7:D7"/>
    <mergeCell ref="C8:D8"/>
    <mergeCell ref="C9:D9"/>
    <mergeCell ref="C22:D22"/>
    <mergeCell ref="C43:D43"/>
    <mergeCell ref="C44:D44"/>
    <mergeCell ref="C45:D45"/>
    <mergeCell ref="C46:D46"/>
    <mergeCell ref="C47:D47"/>
    <mergeCell ref="C62:D62"/>
    <mergeCell ref="C63:D63"/>
    <mergeCell ref="C82:D82"/>
    <mergeCell ref="C64:D64"/>
    <mergeCell ref="C65:D65"/>
    <mergeCell ref="C66:D66"/>
    <mergeCell ref="C79:D79"/>
    <mergeCell ref="C81:D8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ulsanteCopia_Click">
                <anchor moveWithCells="1" sizeWithCells="1">
                  <from>
                    <xdr:col>1</xdr:col>
                    <xdr:colOff>50800</xdr:colOff>
                    <xdr:row>15</xdr:row>
                    <xdr:rowOff>50800</xdr:rowOff>
                  </from>
                  <to>
                    <xdr:col>4</xdr:col>
                    <xdr:colOff>4233</xdr:colOff>
                    <xdr:row>17</xdr:row>
                    <xdr:rowOff>80433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2:Z94"/>
  <sheetViews>
    <sheetView topLeftCell="A35" zoomScale="75" zoomScaleNormal="75" workbookViewId="0">
      <selection activeCell="B56" sqref="B56"/>
    </sheetView>
  </sheetViews>
  <sheetFormatPr defaultColWidth="9.1171875" defaultRowHeight="14.35" x14ac:dyDescent="0.5"/>
  <cols>
    <col min="1" max="1" width="4.5859375" style="1" customWidth="1"/>
    <col min="2" max="2" width="23.87890625" style="1" bestFit="1" customWidth="1"/>
    <col min="3" max="3" width="11.1171875" style="1" bestFit="1" customWidth="1"/>
    <col min="4" max="4" width="10.5859375" style="1" bestFit="1" customWidth="1"/>
    <col min="5" max="6" width="9.1171875" style="1"/>
    <col min="7" max="8" width="0" style="1" hidden="1" customWidth="1"/>
    <col min="9" max="10" width="9.703125" style="1" bestFit="1" customWidth="1"/>
    <col min="11" max="11" width="10.87890625" style="1" customWidth="1"/>
    <col min="12" max="12" width="8.703125" style="1" bestFit="1" customWidth="1"/>
    <col min="13" max="14" width="9.234375" style="1" bestFit="1" customWidth="1"/>
    <col min="15" max="16384" width="9.1171875" style="1"/>
  </cols>
  <sheetData>
    <row r="2" spans="2:26" x14ac:dyDescent="0.5">
      <c r="B2" s="20" t="s">
        <v>10</v>
      </c>
      <c r="C2" s="6">
        <f ca="1">TODAY()</f>
        <v>43629</v>
      </c>
      <c r="D2" s="7">
        <f ca="1">NOW()</f>
        <v>43629.739990856484</v>
      </c>
      <c r="F2" s="13" t="s">
        <v>0</v>
      </c>
      <c r="G2" s="74"/>
      <c r="H2" s="24"/>
      <c r="I2" s="18" t="s">
        <v>109</v>
      </c>
      <c r="J2" s="8" t="s">
        <v>129</v>
      </c>
      <c r="K2" s="5">
        <v>-0.75</v>
      </c>
      <c r="L2" s="4">
        <v>-0.5</v>
      </c>
      <c r="M2" s="5">
        <v>-0.25</v>
      </c>
      <c r="N2" s="4">
        <v>-0.13</v>
      </c>
      <c r="O2" s="5" t="s">
        <v>90</v>
      </c>
      <c r="P2" s="4" t="s">
        <v>92</v>
      </c>
      <c r="Q2" s="5" t="s">
        <v>93</v>
      </c>
      <c r="R2" s="4" t="s">
        <v>94</v>
      </c>
      <c r="S2" s="5" t="s">
        <v>95</v>
      </c>
      <c r="T2" s="5" t="s">
        <v>96</v>
      </c>
      <c r="U2" s="5" t="s">
        <v>97</v>
      </c>
      <c r="V2" s="5" t="s">
        <v>98</v>
      </c>
      <c r="W2" s="8" t="s">
        <v>99</v>
      </c>
      <c r="Y2" t="s">
        <v>77</v>
      </c>
      <c r="Z2"/>
    </row>
    <row r="3" spans="2:26" hidden="1" x14ac:dyDescent="0.5">
      <c r="F3" s="29"/>
      <c r="G3" s="75"/>
      <c r="H3" s="30"/>
      <c r="I3" s="31" t="s">
        <v>76</v>
      </c>
      <c r="J3" s="32" t="s">
        <v>78</v>
      </c>
      <c r="K3" s="33">
        <v>75</v>
      </c>
      <c r="L3" s="34" t="s">
        <v>79</v>
      </c>
      <c r="M3" s="33">
        <v>25</v>
      </c>
      <c r="N3" s="34">
        <v>13</v>
      </c>
      <c r="O3" s="33" t="s">
        <v>91</v>
      </c>
      <c r="P3" s="34" t="s">
        <v>100</v>
      </c>
      <c r="Q3" s="33" t="s">
        <v>101</v>
      </c>
      <c r="R3" s="34">
        <v>10</v>
      </c>
      <c r="S3" s="33" t="s">
        <v>102</v>
      </c>
      <c r="T3" s="33">
        <v>20</v>
      </c>
      <c r="U3" s="33">
        <v>30</v>
      </c>
      <c r="V3" s="33">
        <v>50</v>
      </c>
      <c r="W3" s="32" t="s">
        <v>103</v>
      </c>
      <c r="Y3" s="1" t="s">
        <v>116</v>
      </c>
      <c r="Z3" s="1" t="s">
        <v>125</v>
      </c>
    </row>
    <row r="4" spans="2:26" x14ac:dyDescent="0.5">
      <c r="B4" s="73" t="s">
        <v>123</v>
      </c>
      <c r="F4" s="14" t="s">
        <v>6</v>
      </c>
      <c r="G4" s="76" t="s">
        <v>69</v>
      </c>
      <c r="H4" s="25"/>
      <c r="I4" s="48" t="e">
        <f t="shared" ref="I4:I19" ca="1" si="0">BDP($C$5&amp;I$3&amp;$F4&amp;" "&amp;$C$6&amp;" Curncy",$Y$2)</f>
        <v>#NAME?</v>
      </c>
      <c r="J4" s="40" t="e">
        <f t="shared" ref="J4:W13" ca="1" si="1">BDP($C$5&amp;J$3&amp;$G4&amp;" "&amp;$C$6&amp;" Curncy",$Y$2)</f>
        <v>#NAME?</v>
      </c>
      <c r="K4" s="35" t="e">
        <f t="shared" ca="1" si="1"/>
        <v>#NAME?</v>
      </c>
      <c r="L4" s="35" t="e">
        <f t="shared" ca="1" si="1"/>
        <v>#NAME?</v>
      </c>
      <c r="M4" s="35" t="e">
        <f t="shared" ca="1" si="1"/>
        <v>#NAME?</v>
      </c>
      <c r="N4" s="35" t="e">
        <f t="shared" ca="1" si="1"/>
        <v>#NAME?</v>
      </c>
      <c r="O4" s="35" t="e">
        <f t="shared" ca="1" si="1"/>
        <v>#NAME?</v>
      </c>
      <c r="P4" s="35" t="e">
        <f t="shared" ca="1" si="1"/>
        <v>#NAME?</v>
      </c>
      <c r="Q4" s="35" t="e">
        <f t="shared" ca="1" si="1"/>
        <v>#NAME?</v>
      </c>
      <c r="R4" s="35" t="e">
        <f t="shared" ca="1" si="1"/>
        <v>#NAME?</v>
      </c>
      <c r="S4" s="35" t="e">
        <f t="shared" ca="1" si="1"/>
        <v>#NAME?</v>
      </c>
      <c r="T4" s="35" t="e">
        <f t="shared" ca="1" si="1"/>
        <v>#NAME?</v>
      </c>
      <c r="U4" s="35" t="e">
        <f t="shared" ca="1" si="1"/>
        <v>#NAME?</v>
      </c>
      <c r="V4" s="35" t="e">
        <f t="shared" ca="1" si="1"/>
        <v>#NAME?</v>
      </c>
      <c r="W4" s="37" t="e">
        <f t="shared" ca="1" si="1"/>
        <v>#NAME?</v>
      </c>
    </row>
    <row r="5" spans="2:26" x14ac:dyDescent="0.5">
      <c r="B5" s="52" t="s">
        <v>9</v>
      </c>
      <c r="C5" s="85" t="str">
        <f>Data!C5</f>
        <v>EUZV</v>
      </c>
      <c r="D5" s="86"/>
      <c r="F5" s="15" t="s">
        <v>68</v>
      </c>
      <c r="G5" s="77" t="s">
        <v>70</v>
      </c>
      <c r="H5" s="26"/>
      <c r="I5" s="49" t="e">
        <f t="shared" ca="1" si="0"/>
        <v>#NAME?</v>
      </c>
      <c r="J5" s="42" t="e">
        <f t="shared" ca="1" si="1"/>
        <v>#NAME?</v>
      </c>
      <c r="K5" s="36" t="e">
        <f t="shared" ca="1" si="1"/>
        <v>#NAME?</v>
      </c>
      <c r="L5" s="36" t="e">
        <f t="shared" ca="1" si="1"/>
        <v>#NAME?</v>
      </c>
      <c r="M5" s="36" t="e">
        <f t="shared" ca="1" si="1"/>
        <v>#NAME?</v>
      </c>
      <c r="N5" s="36" t="e">
        <f t="shared" ca="1" si="1"/>
        <v>#NAME?</v>
      </c>
      <c r="O5" s="36" t="e">
        <f t="shared" ca="1" si="1"/>
        <v>#NAME?</v>
      </c>
      <c r="P5" s="36" t="e">
        <f t="shared" ca="1" si="1"/>
        <v>#NAME?</v>
      </c>
      <c r="Q5" s="36" t="e">
        <f t="shared" ca="1" si="1"/>
        <v>#NAME?</v>
      </c>
      <c r="R5" s="36" t="e">
        <f t="shared" ca="1" si="1"/>
        <v>#NAME?</v>
      </c>
      <c r="S5" s="36" t="e">
        <f t="shared" ca="1" si="1"/>
        <v>#NAME?</v>
      </c>
      <c r="T5" s="36" t="e">
        <f t="shared" ca="1" si="1"/>
        <v>#NAME?</v>
      </c>
      <c r="U5" s="36" t="e">
        <f t="shared" ca="1" si="1"/>
        <v>#NAME?</v>
      </c>
      <c r="V5" s="36" t="e">
        <f t="shared" ca="1" si="1"/>
        <v>#NAME?</v>
      </c>
      <c r="W5" s="58" t="e">
        <f t="shared" ca="1" si="1"/>
        <v>#NAME?</v>
      </c>
    </row>
    <row r="6" spans="2:26" x14ac:dyDescent="0.5">
      <c r="B6" s="55" t="s">
        <v>11</v>
      </c>
      <c r="C6" s="85" t="str">
        <f>Data!C6</f>
        <v>ICPL</v>
      </c>
      <c r="D6" s="86"/>
      <c r="F6" s="16" t="s">
        <v>7</v>
      </c>
      <c r="G6" s="78" t="s">
        <v>71</v>
      </c>
      <c r="H6" s="27"/>
      <c r="I6" s="50" t="e">
        <f t="shared" ca="1" si="0"/>
        <v>#NAME?</v>
      </c>
      <c r="J6" s="44" t="e">
        <f t="shared" ca="1" si="1"/>
        <v>#NAME?</v>
      </c>
      <c r="K6" s="38" t="e">
        <f t="shared" ca="1" si="1"/>
        <v>#NAME?</v>
      </c>
      <c r="L6" s="38" t="e">
        <f t="shared" ca="1" si="1"/>
        <v>#NAME?</v>
      </c>
      <c r="M6" s="38" t="e">
        <f t="shared" ca="1" si="1"/>
        <v>#NAME?</v>
      </c>
      <c r="N6" s="38" t="e">
        <f t="shared" ca="1" si="1"/>
        <v>#NAME?</v>
      </c>
      <c r="O6" s="38" t="e">
        <f t="shared" ca="1" si="1"/>
        <v>#NAME?</v>
      </c>
      <c r="P6" s="38" t="e">
        <f t="shared" ca="1" si="1"/>
        <v>#NAME?</v>
      </c>
      <c r="Q6" s="38" t="e">
        <f t="shared" ca="1" si="1"/>
        <v>#NAME?</v>
      </c>
      <c r="R6" s="38" t="e">
        <f t="shared" ca="1" si="1"/>
        <v>#NAME?</v>
      </c>
      <c r="S6" s="38" t="e">
        <f t="shared" ca="1" si="1"/>
        <v>#NAME?</v>
      </c>
      <c r="T6" s="38" t="e">
        <f t="shared" ca="1" si="1"/>
        <v>#NAME?</v>
      </c>
      <c r="U6" s="38" t="e">
        <f t="shared" ca="1" si="1"/>
        <v>#NAME?</v>
      </c>
      <c r="V6" s="38" t="e">
        <f t="shared" ca="1" si="1"/>
        <v>#NAME?</v>
      </c>
      <c r="W6" s="59" t="e">
        <f t="shared" ca="1" si="1"/>
        <v>#NAME?</v>
      </c>
    </row>
    <row r="7" spans="2:26" x14ac:dyDescent="0.5">
      <c r="B7" s="53" t="s">
        <v>12</v>
      </c>
      <c r="C7" s="89" t="str">
        <f>Data!C7</f>
        <v>EUR</v>
      </c>
      <c r="D7" s="90"/>
      <c r="F7" s="15" t="s">
        <v>8</v>
      </c>
      <c r="G7" s="77" t="s">
        <v>72</v>
      </c>
      <c r="H7" s="26"/>
      <c r="I7" s="49" t="e">
        <f t="shared" ca="1" si="0"/>
        <v>#NAME?</v>
      </c>
      <c r="J7" s="42" t="e">
        <f t="shared" ca="1" si="1"/>
        <v>#NAME?</v>
      </c>
      <c r="K7" s="36" t="e">
        <f t="shared" ca="1" si="1"/>
        <v>#NAME?</v>
      </c>
      <c r="L7" s="36" t="e">
        <f t="shared" ca="1" si="1"/>
        <v>#NAME?</v>
      </c>
      <c r="M7" s="36" t="e">
        <f t="shared" ca="1" si="1"/>
        <v>#NAME?</v>
      </c>
      <c r="N7" s="36" t="e">
        <f t="shared" ca="1" si="1"/>
        <v>#NAME?</v>
      </c>
      <c r="O7" s="36" t="e">
        <f t="shared" ca="1" si="1"/>
        <v>#NAME?</v>
      </c>
      <c r="P7" s="36" t="e">
        <f t="shared" ca="1" si="1"/>
        <v>#NAME?</v>
      </c>
      <c r="Q7" s="36" t="e">
        <f t="shared" ca="1" si="1"/>
        <v>#NAME?</v>
      </c>
      <c r="R7" s="36" t="e">
        <f t="shared" ca="1" si="1"/>
        <v>#NAME?</v>
      </c>
      <c r="S7" s="36" t="e">
        <f t="shared" ca="1" si="1"/>
        <v>#NAME?</v>
      </c>
      <c r="T7" s="36" t="e">
        <f t="shared" ca="1" si="1"/>
        <v>#NAME?</v>
      </c>
      <c r="U7" s="36" t="e">
        <f t="shared" ca="1" si="1"/>
        <v>#NAME?</v>
      </c>
      <c r="V7" s="36" t="e">
        <f t="shared" ca="1" si="1"/>
        <v>#NAME?</v>
      </c>
      <c r="W7" s="58" t="e">
        <f t="shared" ca="1" si="1"/>
        <v>#NAME?</v>
      </c>
    </row>
    <row r="8" spans="2:26" x14ac:dyDescent="0.5">
      <c r="B8" s="53" t="s">
        <v>110</v>
      </c>
      <c r="C8" s="89" t="s">
        <v>111</v>
      </c>
      <c r="D8" s="90"/>
      <c r="F8" s="16" t="s">
        <v>32</v>
      </c>
      <c r="G8" s="78" t="s">
        <v>73</v>
      </c>
      <c r="H8" s="27"/>
      <c r="I8" s="50" t="e">
        <f t="shared" ca="1" si="0"/>
        <v>#NAME?</v>
      </c>
      <c r="J8" s="44" t="e">
        <f t="shared" ca="1" si="1"/>
        <v>#NAME?</v>
      </c>
      <c r="K8" s="38" t="e">
        <f t="shared" ca="1" si="1"/>
        <v>#NAME?</v>
      </c>
      <c r="L8" s="38" t="e">
        <f t="shared" ca="1" si="1"/>
        <v>#NAME?</v>
      </c>
      <c r="M8" s="38" t="e">
        <f t="shared" ca="1" si="1"/>
        <v>#NAME?</v>
      </c>
      <c r="N8" s="38" t="e">
        <f t="shared" ca="1" si="1"/>
        <v>#NAME?</v>
      </c>
      <c r="O8" s="38" t="e">
        <f t="shared" ca="1" si="1"/>
        <v>#NAME?</v>
      </c>
      <c r="P8" s="38" t="e">
        <f t="shared" ca="1" si="1"/>
        <v>#NAME?</v>
      </c>
      <c r="Q8" s="38" t="e">
        <f t="shared" ca="1" si="1"/>
        <v>#NAME?</v>
      </c>
      <c r="R8" s="38" t="e">
        <f t="shared" ca="1" si="1"/>
        <v>#NAME?</v>
      </c>
      <c r="S8" s="38" t="e">
        <f t="shared" ca="1" si="1"/>
        <v>#NAME?</v>
      </c>
      <c r="T8" s="38" t="e">
        <f t="shared" ca="1" si="1"/>
        <v>#NAME?</v>
      </c>
      <c r="U8" s="38" t="e">
        <f t="shared" ca="1" si="1"/>
        <v>#NAME?</v>
      </c>
      <c r="V8" s="38" t="e">
        <f t="shared" ca="1" si="1"/>
        <v>#NAME?</v>
      </c>
      <c r="W8" s="59" t="e">
        <f t="shared" ca="1" si="1"/>
        <v>#NAME?</v>
      </c>
    </row>
    <row r="9" spans="2:26" x14ac:dyDescent="0.5">
      <c r="B9" s="22" t="s">
        <v>112</v>
      </c>
      <c r="C9" s="93"/>
      <c r="D9" s="94"/>
      <c r="F9" s="15" t="s">
        <v>35</v>
      </c>
      <c r="G9" s="77" t="s">
        <v>79</v>
      </c>
      <c r="H9" s="26"/>
      <c r="I9" s="49" t="e">
        <f t="shared" ca="1" si="0"/>
        <v>#NAME?</v>
      </c>
      <c r="J9" s="42" t="e">
        <f t="shared" ca="1" si="1"/>
        <v>#NAME?</v>
      </c>
      <c r="K9" s="36" t="e">
        <f t="shared" ca="1" si="1"/>
        <v>#NAME?</v>
      </c>
      <c r="L9" s="36" t="e">
        <f t="shared" ca="1" si="1"/>
        <v>#NAME?</v>
      </c>
      <c r="M9" s="36" t="e">
        <f t="shared" ca="1" si="1"/>
        <v>#NAME?</v>
      </c>
      <c r="N9" s="36" t="e">
        <f t="shared" ca="1" si="1"/>
        <v>#NAME?</v>
      </c>
      <c r="O9" s="36" t="e">
        <f t="shared" ca="1" si="1"/>
        <v>#NAME?</v>
      </c>
      <c r="P9" s="36" t="e">
        <f t="shared" ca="1" si="1"/>
        <v>#NAME?</v>
      </c>
      <c r="Q9" s="36" t="e">
        <f t="shared" ca="1" si="1"/>
        <v>#NAME?</v>
      </c>
      <c r="R9" s="36" t="e">
        <f t="shared" ca="1" si="1"/>
        <v>#NAME?</v>
      </c>
      <c r="S9" s="36" t="e">
        <f t="shared" ca="1" si="1"/>
        <v>#NAME?</v>
      </c>
      <c r="T9" s="36" t="e">
        <f t="shared" ca="1" si="1"/>
        <v>#NAME?</v>
      </c>
      <c r="U9" s="36" t="e">
        <f t="shared" ca="1" si="1"/>
        <v>#NAME?</v>
      </c>
      <c r="V9" s="36" t="e">
        <f t="shared" ca="1" si="1"/>
        <v>#NAME?</v>
      </c>
      <c r="W9" s="58" t="e">
        <f t="shared" ca="1" si="1"/>
        <v>#NAME?</v>
      </c>
    </row>
    <row r="10" spans="2:26" x14ac:dyDescent="0.5">
      <c r="F10" s="16" t="s">
        <v>38</v>
      </c>
      <c r="G10" s="78" t="s">
        <v>80</v>
      </c>
      <c r="H10" s="27"/>
      <c r="I10" s="50" t="e">
        <f t="shared" ca="1" si="0"/>
        <v>#NAME?</v>
      </c>
      <c r="J10" s="44" t="e">
        <f t="shared" ca="1" si="1"/>
        <v>#NAME?</v>
      </c>
      <c r="K10" s="38" t="e">
        <f t="shared" ca="1" si="1"/>
        <v>#NAME?</v>
      </c>
      <c r="L10" s="38" t="e">
        <f t="shared" ca="1" si="1"/>
        <v>#NAME?</v>
      </c>
      <c r="M10" s="38" t="e">
        <f t="shared" ca="1" si="1"/>
        <v>#NAME?</v>
      </c>
      <c r="N10" s="38" t="e">
        <f t="shared" ca="1" si="1"/>
        <v>#NAME?</v>
      </c>
      <c r="O10" s="38" t="e">
        <f t="shared" ca="1" si="1"/>
        <v>#NAME?</v>
      </c>
      <c r="P10" s="38" t="e">
        <f t="shared" ca="1" si="1"/>
        <v>#NAME?</v>
      </c>
      <c r="Q10" s="38" t="e">
        <f t="shared" ca="1" si="1"/>
        <v>#NAME?</v>
      </c>
      <c r="R10" s="38" t="e">
        <f t="shared" ca="1" si="1"/>
        <v>#NAME?</v>
      </c>
      <c r="S10" s="38" t="e">
        <f t="shared" ca="1" si="1"/>
        <v>#NAME?</v>
      </c>
      <c r="T10" s="38" t="e">
        <f t="shared" ca="1" si="1"/>
        <v>#NAME?</v>
      </c>
      <c r="U10" s="38" t="e">
        <f t="shared" ca="1" si="1"/>
        <v>#NAME?</v>
      </c>
      <c r="V10" s="38" t="e">
        <f t="shared" ca="1" si="1"/>
        <v>#NAME?</v>
      </c>
      <c r="W10" s="59" t="e">
        <f t="shared" ca="1" si="1"/>
        <v>#NAME?</v>
      </c>
    </row>
    <row r="11" spans="2:26" x14ac:dyDescent="0.5">
      <c r="F11" s="15" t="s">
        <v>41</v>
      </c>
      <c r="G11" s="77" t="s">
        <v>81</v>
      </c>
      <c r="H11" s="26"/>
      <c r="I11" s="49" t="e">
        <f t="shared" ca="1" si="0"/>
        <v>#NAME?</v>
      </c>
      <c r="J11" s="42" t="e">
        <f t="shared" ca="1" si="1"/>
        <v>#NAME?</v>
      </c>
      <c r="K11" s="36" t="e">
        <f t="shared" ca="1" si="1"/>
        <v>#NAME?</v>
      </c>
      <c r="L11" s="36" t="e">
        <f t="shared" ca="1" si="1"/>
        <v>#NAME?</v>
      </c>
      <c r="M11" s="36" t="e">
        <f t="shared" ca="1" si="1"/>
        <v>#NAME?</v>
      </c>
      <c r="N11" s="36" t="e">
        <f t="shared" ca="1" si="1"/>
        <v>#NAME?</v>
      </c>
      <c r="O11" s="36" t="e">
        <f t="shared" ca="1" si="1"/>
        <v>#NAME?</v>
      </c>
      <c r="P11" s="36" t="e">
        <f t="shared" ca="1" si="1"/>
        <v>#NAME?</v>
      </c>
      <c r="Q11" s="36" t="e">
        <f t="shared" ca="1" si="1"/>
        <v>#NAME?</v>
      </c>
      <c r="R11" s="36" t="e">
        <f t="shared" ca="1" si="1"/>
        <v>#NAME?</v>
      </c>
      <c r="S11" s="36" t="e">
        <f t="shared" ca="1" si="1"/>
        <v>#NAME?</v>
      </c>
      <c r="T11" s="36" t="e">
        <f t="shared" ca="1" si="1"/>
        <v>#NAME?</v>
      </c>
      <c r="U11" s="36" t="e">
        <f t="shared" ca="1" si="1"/>
        <v>#NAME?</v>
      </c>
      <c r="V11" s="36" t="e">
        <f t="shared" ca="1" si="1"/>
        <v>#NAME?</v>
      </c>
      <c r="W11" s="58" t="e">
        <f t="shared" ca="1" si="1"/>
        <v>#NAME?</v>
      </c>
    </row>
    <row r="12" spans="2:26" x14ac:dyDescent="0.5">
      <c r="F12" s="16" t="s">
        <v>44</v>
      </c>
      <c r="G12" s="78" t="s">
        <v>82</v>
      </c>
      <c r="H12" s="27"/>
      <c r="I12" s="50" t="e">
        <f t="shared" ca="1" si="0"/>
        <v>#NAME?</v>
      </c>
      <c r="J12" s="44" t="e">
        <f t="shared" ca="1" si="1"/>
        <v>#NAME?</v>
      </c>
      <c r="K12" s="38" t="e">
        <f t="shared" ca="1" si="1"/>
        <v>#NAME?</v>
      </c>
      <c r="L12" s="38" t="e">
        <f t="shared" ca="1" si="1"/>
        <v>#NAME?</v>
      </c>
      <c r="M12" s="38" t="e">
        <f t="shared" ca="1" si="1"/>
        <v>#NAME?</v>
      </c>
      <c r="N12" s="38" t="e">
        <f t="shared" ca="1" si="1"/>
        <v>#NAME?</v>
      </c>
      <c r="O12" s="38" t="e">
        <f t="shared" ca="1" si="1"/>
        <v>#NAME?</v>
      </c>
      <c r="P12" s="38" t="e">
        <f t="shared" ca="1" si="1"/>
        <v>#NAME?</v>
      </c>
      <c r="Q12" s="38" t="e">
        <f t="shared" ca="1" si="1"/>
        <v>#NAME?</v>
      </c>
      <c r="R12" s="38" t="e">
        <f t="shared" ca="1" si="1"/>
        <v>#NAME?</v>
      </c>
      <c r="S12" s="38" t="e">
        <f t="shared" ca="1" si="1"/>
        <v>#NAME?</v>
      </c>
      <c r="T12" s="38" t="e">
        <f t="shared" ca="1" si="1"/>
        <v>#NAME?</v>
      </c>
      <c r="U12" s="38" t="e">
        <f t="shared" ca="1" si="1"/>
        <v>#NAME?</v>
      </c>
      <c r="V12" s="38" t="e">
        <f t="shared" ca="1" si="1"/>
        <v>#NAME?</v>
      </c>
      <c r="W12" s="59" t="e">
        <f t="shared" ca="1" si="1"/>
        <v>#NAME?</v>
      </c>
    </row>
    <row r="13" spans="2:26" x14ac:dyDescent="0.5">
      <c r="F13" s="15" t="s">
        <v>47</v>
      </c>
      <c r="G13" s="77" t="s">
        <v>83</v>
      </c>
      <c r="H13" s="26"/>
      <c r="I13" s="49" t="e">
        <f t="shared" ca="1" si="0"/>
        <v>#NAME?</v>
      </c>
      <c r="J13" s="42" t="e">
        <f t="shared" ca="1" si="1"/>
        <v>#NAME?</v>
      </c>
      <c r="K13" s="36" t="e">
        <f t="shared" ca="1" si="1"/>
        <v>#NAME?</v>
      </c>
      <c r="L13" s="36" t="e">
        <f t="shared" ca="1" si="1"/>
        <v>#NAME?</v>
      </c>
      <c r="M13" s="36" t="e">
        <f t="shared" ca="1" si="1"/>
        <v>#NAME?</v>
      </c>
      <c r="N13" s="36" t="e">
        <f t="shared" ca="1" si="1"/>
        <v>#NAME?</v>
      </c>
      <c r="O13" s="36" t="e">
        <f t="shared" ca="1" si="1"/>
        <v>#NAME?</v>
      </c>
      <c r="P13" s="36" t="e">
        <f t="shared" ca="1" si="1"/>
        <v>#NAME?</v>
      </c>
      <c r="Q13" s="36" t="e">
        <f t="shared" ca="1" si="1"/>
        <v>#NAME?</v>
      </c>
      <c r="R13" s="36" t="e">
        <f t="shared" ca="1" si="1"/>
        <v>#NAME?</v>
      </c>
      <c r="S13" s="36" t="e">
        <f t="shared" ca="1" si="1"/>
        <v>#NAME?</v>
      </c>
      <c r="T13" s="36" t="e">
        <f t="shared" ca="1" si="1"/>
        <v>#NAME?</v>
      </c>
      <c r="U13" s="36" t="e">
        <f t="shared" ca="1" si="1"/>
        <v>#NAME?</v>
      </c>
      <c r="V13" s="36" t="e">
        <f t="shared" ca="1" si="1"/>
        <v>#NAME?</v>
      </c>
      <c r="W13" s="58" t="e">
        <f t="shared" ca="1" si="1"/>
        <v>#NAME?</v>
      </c>
    </row>
    <row r="14" spans="2:26" x14ac:dyDescent="0.5">
      <c r="F14" s="16" t="s">
        <v>50</v>
      </c>
      <c r="G14" s="78" t="s">
        <v>84</v>
      </c>
      <c r="H14" s="27"/>
      <c r="I14" s="50" t="e">
        <f t="shared" ca="1" si="0"/>
        <v>#NAME?</v>
      </c>
      <c r="J14" s="44" t="e">
        <f t="shared" ref="J14:W19" ca="1" si="2">BDP($C$5&amp;J$3&amp;$G14&amp;" "&amp;$C$6&amp;" Curncy",$Y$2)</f>
        <v>#NAME?</v>
      </c>
      <c r="K14" s="38" t="e">
        <f t="shared" ca="1" si="2"/>
        <v>#NAME?</v>
      </c>
      <c r="L14" s="38" t="e">
        <f t="shared" ca="1" si="2"/>
        <v>#NAME?</v>
      </c>
      <c r="M14" s="38" t="e">
        <f t="shared" ca="1" si="2"/>
        <v>#NAME?</v>
      </c>
      <c r="N14" s="38" t="e">
        <f t="shared" ca="1" si="2"/>
        <v>#NAME?</v>
      </c>
      <c r="O14" s="38" t="e">
        <f t="shared" ca="1" si="2"/>
        <v>#NAME?</v>
      </c>
      <c r="P14" s="38" t="e">
        <f t="shared" ca="1" si="2"/>
        <v>#NAME?</v>
      </c>
      <c r="Q14" s="38" t="e">
        <f t="shared" ca="1" si="2"/>
        <v>#NAME?</v>
      </c>
      <c r="R14" s="38" t="e">
        <f t="shared" ca="1" si="2"/>
        <v>#NAME?</v>
      </c>
      <c r="S14" s="38" t="e">
        <f t="shared" ca="1" si="2"/>
        <v>#NAME?</v>
      </c>
      <c r="T14" s="38" t="e">
        <f t="shared" ca="1" si="2"/>
        <v>#NAME?</v>
      </c>
      <c r="U14" s="38" t="e">
        <f t="shared" ca="1" si="2"/>
        <v>#NAME?</v>
      </c>
      <c r="V14" s="38" t="e">
        <f t="shared" ca="1" si="2"/>
        <v>#NAME?</v>
      </c>
      <c r="W14" s="59" t="e">
        <f t="shared" ca="1" si="2"/>
        <v>#NAME?</v>
      </c>
    </row>
    <row r="15" spans="2:26" x14ac:dyDescent="0.5">
      <c r="F15" s="15" t="s">
        <v>104</v>
      </c>
      <c r="G15" s="77" t="s">
        <v>85</v>
      </c>
      <c r="H15" s="26"/>
      <c r="I15" s="49" t="e">
        <f t="shared" ca="1" si="0"/>
        <v>#NAME?</v>
      </c>
      <c r="J15" s="42" t="e">
        <f t="shared" ca="1" si="2"/>
        <v>#NAME?</v>
      </c>
      <c r="K15" s="36" t="e">
        <f t="shared" ca="1" si="2"/>
        <v>#NAME?</v>
      </c>
      <c r="L15" s="36" t="e">
        <f t="shared" ca="1" si="2"/>
        <v>#NAME?</v>
      </c>
      <c r="M15" s="36" t="e">
        <f t="shared" ca="1" si="2"/>
        <v>#NAME?</v>
      </c>
      <c r="N15" s="36" t="e">
        <f t="shared" ca="1" si="2"/>
        <v>#NAME?</v>
      </c>
      <c r="O15" s="36" t="e">
        <f t="shared" ca="1" si="2"/>
        <v>#NAME?</v>
      </c>
      <c r="P15" s="36" t="e">
        <f t="shared" ca="1" si="2"/>
        <v>#NAME?</v>
      </c>
      <c r="Q15" s="36" t="e">
        <f t="shared" ca="1" si="2"/>
        <v>#NAME?</v>
      </c>
      <c r="R15" s="36" t="e">
        <f t="shared" ca="1" si="2"/>
        <v>#NAME?</v>
      </c>
      <c r="S15" s="36" t="e">
        <f t="shared" ca="1" si="2"/>
        <v>#NAME?</v>
      </c>
      <c r="T15" s="36" t="e">
        <f t="shared" ca="1" si="2"/>
        <v>#NAME?</v>
      </c>
      <c r="U15" s="36" t="e">
        <f t="shared" ca="1" si="2"/>
        <v>#NAME?</v>
      </c>
      <c r="V15" s="36" t="e">
        <f t="shared" ca="1" si="2"/>
        <v>#NAME?</v>
      </c>
      <c r="W15" s="58" t="e">
        <f t="shared" ca="1" si="2"/>
        <v>#NAME?</v>
      </c>
    </row>
    <row r="16" spans="2:26" x14ac:dyDescent="0.5">
      <c r="F16" s="16" t="s">
        <v>105</v>
      </c>
      <c r="G16" s="78" t="s">
        <v>86</v>
      </c>
      <c r="H16" s="27"/>
      <c r="I16" s="50" t="e">
        <f t="shared" ca="1" si="0"/>
        <v>#NAME?</v>
      </c>
      <c r="J16" s="44" t="e">
        <f t="shared" ca="1" si="2"/>
        <v>#NAME?</v>
      </c>
      <c r="K16" s="38" t="e">
        <f t="shared" ca="1" si="2"/>
        <v>#NAME?</v>
      </c>
      <c r="L16" s="38" t="e">
        <f t="shared" ca="1" si="2"/>
        <v>#NAME?</v>
      </c>
      <c r="M16" s="38" t="e">
        <f t="shared" ca="1" si="2"/>
        <v>#NAME?</v>
      </c>
      <c r="N16" s="38" t="e">
        <f t="shared" ca="1" si="2"/>
        <v>#NAME?</v>
      </c>
      <c r="O16" s="38" t="e">
        <f t="shared" ca="1" si="2"/>
        <v>#NAME?</v>
      </c>
      <c r="P16" s="38" t="e">
        <f t="shared" ca="1" si="2"/>
        <v>#NAME?</v>
      </c>
      <c r="Q16" s="38" t="e">
        <f t="shared" ca="1" si="2"/>
        <v>#NAME?</v>
      </c>
      <c r="R16" s="38" t="e">
        <f t="shared" ca="1" si="2"/>
        <v>#NAME?</v>
      </c>
      <c r="S16" s="38" t="e">
        <f t="shared" ca="1" si="2"/>
        <v>#NAME?</v>
      </c>
      <c r="T16" s="38" t="e">
        <f t="shared" ca="1" si="2"/>
        <v>#NAME?</v>
      </c>
      <c r="U16" s="38" t="e">
        <f t="shared" ca="1" si="2"/>
        <v>#NAME?</v>
      </c>
      <c r="V16" s="38" t="e">
        <f t="shared" ca="1" si="2"/>
        <v>#NAME?</v>
      </c>
      <c r="W16" s="59" t="e">
        <f t="shared" ca="1" si="2"/>
        <v>#NAME?</v>
      </c>
    </row>
    <row r="17" spans="2:23" x14ac:dyDescent="0.5">
      <c r="F17" s="15" t="s">
        <v>106</v>
      </c>
      <c r="G17" s="77" t="s">
        <v>87</v>
      </c>
      <c r="H17" s="26"/>
      <c r="I17" s="49" t="e">
        <f t="shared" ca="1" si="0"/>
        <v>#NAME?</v>
      </c>
      <c r="J17" s="42" t="e">
        <f t="shared" ca="1" si="2"/>
        <v>#NAME?</v>
      </c>
      <c r="K17" s="36" t="e">
        <f t="shared" ca="1" si="2"/>
        <v>#NAME?</v>
      </c>
      <c r="L17" s="36" t="e">
        <f t="shared" ca="1" si="2"/>
        <v>#NAME?</v>
      </c>
      <c r="M17" s="36" t="e">
        <f t="shared" ca="1" si="2"/>
        <v>#NAME?</v>
      </c>
      <c r="N17" s="36" t="e">
        <f t="shared" ca="1" si="2"/>
        <v>#NAME?</v>
      </c>
      <c r="O17" s="36" t="e">
        <f t="shared" ca="1" si="2"/>
        <v>#NAME?</v>
      </c>
      <c r="P17" s="36" t="e">
        <f t="shared" ca="1" si="2"/>
        <v>#NAME?</v>
      </c>
      <c r="Q17" s="36" t="e">
        <f t="shared" ca="1" si="2"/>
        <v>#NAME?</v>
      </c>
      <c r="R17" s="36" t="e">
        <f t="shared" ca="1" si="2"/>
        <v>#NAME?</v>
      </c>
      <c r="S17" s="36" t="e">
        <f t="shared" ca="1" si="2"/>
        <v>#NAME?</v>
      </c>
      <c r="T17" s="36" t="e">
        <f t="shared" ca="1" si="2"/>
        <v>#NAME?</v>
      </c>
      <c r="U17" s="36" t="e">
        <f t="shared" ca="1" si="2"/>
        <v>#NAME?</v>
      </c>
      <c r="V17" s="36" t="e">
        <f t="shared" ca="1" si="2"/>
        <v>#NAME?</v>
      </c>
      <c r="W17" s="58" t="e">
        <f t="shared" ca="1" si="2"/>
        <v>#NAME?</v>
      </c>
    </row>
    <row r="18" spans="2:23" x14ac:dyDescent="0.5">
      <c r="F18" s="16" t="s">
        <v>107</v>
      </c>
      <c r="G18" s="78" t="s">
        <v>88</v>
      </c>
      <c r="H18" s="27"/>
      <c r="I18" s="50" t="e">
        <f t="shared" ca="1" si="0"/>
        <v>#NAME?</v>
      </c>
      <c r="J18" s="44" t="e">
        <f t="shared" ca="1" si="2"/>
        <v>#NAME?</v>
      </c>
      <c r="K18" s="38" t="e">
        <f t="shared" ca="1" si="2"/>
        <v>#NAME?</v>
      </c>
      <c r="L18" s="38" t="e">
        <f t="shared" ca="1" si="2"/>
        <v>#NAME?</v>
      </c>
      <c r="M18" s="38" t="e">
        <f t="shared" ca="1" si="2"/>
        <v>#NAME?</v>
      </c>
      <c r="N18" s="38" t="e">
        <f t="shared" ca="1" si="2"/>
        <v>#NAME?</v>
      </c>
      <c r="O18" s="38" t="e">
        <f t="shared" ca="1" si="2"/>
        <v>#NAME?</v>
      </c>
      <c r="P18" s="38" t="e">
        <f t="shared" ca="1" si="2"/>
        <v>#NAME?</v>
      </c>
      <c r="Q18" s="38" t="e">
        <f t="shared" ca="1" si="2"/>
        <v>#NAME?</v>
      </c>
      <c r="R18" s="38" t="e">
        <f t="shared" ca="1" si="2"/>
        <v>#NAME?</v>
      </c>
      <c r="S18" s="38" t="e">
        <f t="shared" ca="1" si="2"/>
        <v>#NAME?</v>
      </c>
      <c r="T18" s="38" t="e">
        <f t="shared" ca="1" si="2"/>
        <v>#NAME?</v>
      </c>
      <c r="U18" s="38" t="e">
        <f t="shared" ca="1" si="2"/>
        <v>#NAME?</v>
      </c>
      <c r="V18" s="38" t="e">
        <f t="shared" ca="1" si="2"/>
        <v>#NAME?</v>
      </c>
      <c r="W18" s="59" t="e">
        <f t="shared" ca="1" si="2"/>
        <v>#NAME?</v>
      </c>
    </row>
    <row r="19" spans="2:23" x14ac:dyDescent="0.5">
      <c r="F19" s="17" t="s">
        <v>108</v>
      </c>
      <c r="G19" s="79" t="s">
        <v>89</v>
      </c>
      <c r="H19" s="28"/>
      <c r="I19" s="51" t="e">
        <f t="shared" ca="1" si="0"/>
        <v>#NAME?</v>
      </c>
      <c r="J19" s="46" t="e">
        <f t="shared" ca="1" si="2"/>
        <v>#NAME?</v>
      </c>
      <c r="K19" s="39" t="e">
        <f t="shared" ca="1" si="2"/>
        <v>#NAME?</v>
      </c>
      <c r="L19" s="39" t="e">
        <f t="shared" ca="1" si="2"/>
        <v>#NAME?</v>
      </c>
      <c r="M19" s="39" t="e">
        <f t="shared" ca="1" si="2"/>
        <v>#NAME?</v>
      </c>
      <c r="N19" s="39" t="e">
        <f t="shared" ca="1" si="2"/>
        <v>#NAME?</v>
      </c>
      <c r="O19" s="39" t="e">
        <f t="shared" ca="1" si="2"/>
        <v>#NAME?</v>
      </c>
      <c r="P19" s="39" t="e">
        <f t="shared" ca="1" si="2"/>
        <v>#NAME?</v>
      </c>
      <c r="Q19" s="39" t="e">
        <f t="shared" ca="1" si="2"/>
        <v>#NAME?</v>
      </c>
      <c r="R19" s="39" t="e">
        <f t="shared" ca="1" si="2"/>
        <v>#NAME?</v>
      </c>
      <c r="S19" s="39" t="e">
        <f t="shared" ca="1" si="2"/>
        <v>#NAME?</v>
      </c>
      <c r="T19" s="39" t="e">
        <f t="shared" ca="1" si="2"/>
        <v>#NAME?</v>
      </c>
      <c r="U19" s="39" t="e">
        <f t="shared" ca="1" si="2"/>
        <v>#NAME?</v>
      </c>
      <c r="V19" s="39" t="e">
        <f t="shared" ca="1" si="2"/>
        <v>#NAME?</v>
      </c>
      <c r="W19" s="60" t="e">
        <f t="shared" ca="1" si="2"/>
        <v>#NAME?</v>
      </c>
    </row>
    <row r="21" spans="2:23" x14ac:dyDescent="0.5">
      <c r="F21" s="13" t="s">
        <v>0</v>
      </c>
      <c r="G21" s="74"/>
      <c r="H21" s="24"/>
      <c r="I21" s="18" t="s">
        <v>109</v>
      </c>
      <c r="J21" s="8" t="s">
        <v>129</v>
      </c>
      <c r="K21" s="5">
        <v>-0.75</v>
      </c>
      <c r="L21" s="4">
        <v>-0.5</v>
      </c>
      <c r="M21" s="5">
        <v>-0.25</v>
      </c>
      <c r="N21" s="4">
        <v>-0.13</v>
      </c>
      <c r="O21" s="5" t="s">
        <v>90</v>
      </c>
      <c r="P21" s="4" t="s">
        <v>92</v>
      </c>
      <c r="Q21" s="5" t="s">
        <v>93</v>
      </c>
      <c r="R21" s="4" t="s">
        <v>94</v>
      </c>
      <c r="S21" s="5" t="s">
        <v>95</v>
      </c>
      <c r="T21" s="5" t="s">
        <v>96</v>
      </c>
      <c r="U21" s="5" t="s">
        <v>97</v>
      </c>
      <c r="V21" s="5" t="s">
        <v>98</v>
      </c>
      <c r="W21" s="8" t="s">
        <v>99</v>
      </c>
    </row>
    <row r="22" spans="2:23" hidden="1" x14ac:dyDescent="0.5">
      <c r="C22" s="85" t="str">
        <f>Data!C22</f>
        <v>EUN</v>
      </c>
      <c r="D22" s="86"/>
      <c r="F22" s="29"/>
      <c r="G22" s="75"/>
      <c r="H22" s="30"/>
      <c r="I22" s="31"/>
      <c r="J22" s="32" t="s">
        <v>76</v>
      </c>
      <c r="K22" s="33">
        <v>75</v>
      </c>
      <c r="L22" s="34" t="s">
        <v>79</v>
      </c>
      <c r="M22" s="33">
        <v>25</v>
      </c>
      <c r="N22" s="34">
        <v>13</v>
      </c>
      <c r="O22" s="33" t="s">
        <v>120</v>
      </c>
      <c r="P22" s="34" t="s">
        <v>118</v>
      </c>
      <c r="Q22" s="57" t="s">
        <v>79</v>
      </c>
      <c r="R22" s="34">
        <v>10</v>
      </c>
      <c r="S22" s="33">
        <v>15</v>
      </c>
      <c r="T22" s="33">
        <v>20</v>
      </c>
      <c r="U22" s="33">
        <v>30</v>
      </c>
      <c r="V22" s="33">
        <v>50</v>
      </c>
      <c r="W22" s="61" t="s">
        <v>91</v>
      </c>
    </row>
    <row r="23" spans="2:23" x14ac:dyDescent="0.5">
      <c r="B23" s="73" t="s">
        <v>123</v>
      </c>
      <c r="C23" s="85" t="str">
        <f>Data!C23</f>
        <v>EUNZ</v>
      </c>
      <c r="D23" s="86"/>
      <c r="F23" s="14" t="s">
        <v>6</v>
      </c>
      <c r="G23" s="76" t="s">
        <v>69</v>
      </c>
      <c r="H23" s="25">
        <v>1</v>
      </c>
      <c r="I23" s="48" t="e">
        <f ca="1">I4</f>
        <v>#NAME?</v>
      </c>
      <c r="J23" s="40" t="e">
        <f t="shared" ref="J23:J38" ca="1" si="3">BDP($C$22&amp;J$22&amp;$G23&amp;" "&amp;$C$25&amp;" Curncy",$Y$2)</f>
        <v>#NAME?</v>
      </c>
      <c r="K23" s="35" t="e">
        <f ca="1">BDP($C$24&amp;K$3&amp;$G23&amp;" "&amp;$C$25&amp;" Curncy",$Y$2)</f>
        <v>#NAME?</v>
      </c>
      <c r="L23" s="35" t="e">
        <f ca="1">BDP($C$24&amp;L$3&amp;$G23&amp;" "&amp;$C$25&amp;" Curncy",$Y$2)</f>
        <v>#NAME?</v>
      </c>
      <c r="M23" s="35" t="e">
        <f ca="1">BDP($C$24&amp;M$3&amp;$G23&amp;" "&amp;$C$25&amp;" Curncy",$Y$2)</f>
        <v>#NAME?</v>
      </c>
      <c r="N23" s="35" t="e">
        <f ca="1">BDP($C$24&amp;N$3&amp;$G23&amp;" "&amp;$C$25&amp;" Curncy",$Y$2)</f>
        <v>#NAME?</v>
      </c>
      <c r="O23" s="35" t="e">
        <f t="shared" ref="O23:W32" ca="1" si="4">BDP($C$23&amp;O$22&amp;$H23&amp;" "&amp;$C$25&amp;" Curncy",$Y$2)</f>
        <v>#NAME?</v>
      </c>
      <c r="P23" s="35" t="e">
        <f t="shared" ca="1" si="4"/>
        <v>#NAME?</v>
      </c>
      <c r="Q23" s="35" t="e">
        <f t="shared" ca="1" si="4"/>
        <v>#NAME?</v>
      </c>
      <c r="R23" s="35" t="e">
        <f t="shared" ca="1" si="4"/>
        <v>#NAME?</v>
      </c>
      <c r="S23" s="35" t="e">
        <f t="shared" ca="1" si="4"/>
        <v>#NAME?</v>
      </c>
      <c r="T23" s="35" t="e">
        <f t="shared" ca="1" si="4"/>
        <v>#NAME?</v>
      </c>
      <c r="U23" s="35" t="e">
        <f t="shared" ca="1" si="4"/>
        <v>#NAME?</v>
      </c>
      <c r="V23" s="35" t="e">
        <f t="shared" ca="1" si="4"/>
        <v>#NAME?</v>
      </c>
      <c r="W23" s="37" t="e">
        <f t="shared" ca="1" si="4"/>
        <v>#NAME?</v>
      </c>
    </row>
    <row r="24" spans="2:23" x14ac:dyDescent="0.5">
      <c r="B24" s="52" t="s">
        <v>9</v>
      </c>
      <c r="C24" s="85" t="str">
        <f>Data!C24</f>
        <v>EU0Z</v>
      </c>
      <c r="D24" s="86"/>
      <c r="F24" s="15" t="s">
        <v>68</v>
      </c>
      <c r="G24" s="77" t="s">
        <v>70</v>
      </c>
      <c r="H24" s="26" t="s">
        <v>70</v>
      </c>
      <c r="I24" s="49" t="e">
        <f t="shared" ref="I24:I38" ca="1" si="5">I5</f>
        <v>#NAME?</v>
      </c>
      <c r="J24" s="42" t="e">
        <f t="shared" ca="1" si="3"/>
        <v>#NAME?</v>
      </c>
      <c r="K24" s="36" t="e">
        <f t="shared" ref="K24:K38" ca="1" si="6">BDP($C$24&amp;K$3&amp;$G24&amp;" "&amp;$C$25&amp;" Curncy",$Y$2)</f>
        <v>#NAME?</v>
      </c>
      <c r="L24" s="36" t="e">
        <f ca="1">BDP($C$24&amp;L$3&amp;$Y3&amp;" "&amp;$C$25&amp;" Curncy",$Y$2)</f>
        <v>#NAME?</v>
      </c>
      <c r="M24" s="36" t="e">
        <f ca="1">BDP($C$24&amp;M$3&amp;$Y3&amp;" "&amp;$C$25&amp;" Curncy",$Y$2)</f>
        <v>#NAME?</v>
      </c>
      <c r="N24" s="36" t="e">
        <f ca="1">BDP($C$24&amp;N$3&amp;$Y3&amp;" "&amp;$C$25&amp;" Curncy",$Y$2)</f>
        <v>#NAME?</v>
      </c>
      <c r="O24" s="36" t="e">
        <f t="shared" ca="1" si="4"/>
        <v>#NAME?</v>
      </c>
      <c r="P24" s="36" t="e">
        <f t="shared" ca="1" si="4"/>
        <v>#NAME?</v>
      </c>
      <c r="Q24" s="36" t="e">
        <f t="shared" ca="1" si="4"/>
        <v>#NAME?</v>
      </c>
      <c r="R24" s="36" t="e">
        <f t="shared" ca="1" si="4"/>
        <v>#NAME?</v>
      </c>
      <c r="S24" s="36" t="e">
        <f t="shared" ca="1" si="4"/>
        <v>#NAME?</v>
      </c>
      <c r="T24" s="36" t="e">
        <f t="shared" ca="1" si="4"/>
        <v>#NAME?</v>
      </c>
      <c r="U24" s="36" t="e">
        <f t="shared" ca="1" si="4"/>
        <v>#NAME?</v>
      </c>
      <c r="V24" s="36" t="e">
        <f t="shared" ca="1" si="4"/>
        <v>#NAME?</v>
      </c>
      <c r="W24" s="58" t="e">
        <f t="shared" ca="1" si="4"/>
        <v>#NAME?</v>
      </c>
    </row>
    <row r="25" spans="2:23" x14ac:dyDescent="0.5">
      <c r="B25" s="55" t="s">
        <v>11</v>
      </c>
      <c r="C25" s="85" t="str">
        <f>Data!C25</f>
        <v>ICPL</v>
      </c>
      <c r="D25" s="86"/>
      <c r="F25" s="16" t="s">
        <v>7</v>
      </c>
      <c r="G25" s="78" t="s">
        <v>71</v>
      </c>
      <c r="H25" s="27">
        <v>2</v>
      </c>
      <c r="I25" s="50" t="e">
        <f t="shared" ca="1" si="5"/>
        <v>#NAME?</v>
      </c>
      <c r="J25" s="44" t="e">
        <f t="shared" ca="1" si="3"/>
        <v>#NAME?</v>
      </c>
      <c r="K25" s="38" t="e">
        <f t="shared" ca="1" si="6"/>
        <v>#NAME?</v>
      </c>
      <c r="L25" s="38" t="e">
        <f t="shared" ref="L25:N38" ca="1" si="7">BDP($C$24&amp;L$3&amp;$G25&amp;" "&amp;$C$25&amp;" Curncy",$Y$2)</f>
        <v>#NAME?</v>
      </c>
      <c r="M25" s="38" t="e">
        <f t="shared" ca="1" si="7"/>
        <v>#NAME?</v>
      </c>
      <c r="N25" s="38" t="e">
        <f t="shared" ca="1" si="7"/>
        <v>#NAME?</v>
      </c>
      <c r="O25" s="38" t="e">
        <f t="shared" ca="1" si="4"/>
        <v>#NAME?</v>
      </c>
      <c r="P25" s="38" t="e">
        <f t="shared" ca="1" si="4"/>
        <v>#NAME?</v>
      </c>
      <c r="Q25" s="38" t="e">
        <f t="shared" ca="1" si="4"/>
        <v>#NAME?</v>
      </c>
      <c r="R25" s="38" t="e">
        <f t="shared" ca="1" si="4"/>
        <v>#NAME?</v>
      </c>
      <c r="S25" s="38" t="e">
        <f t="shared" ca="1" si="4"/>
        <v>#NAME?</v>
      </c>
      <c r="T25" s="38" t="e">
        <f t="shared" ca="1" si="4"/>
        <v>#NAME?</v>
      </c>
      <c r="U25" s="38" t="e">
        <f t="shared" ca="1" si="4"/>
        <v>#NAME?</v>
      </c>
      <c r="V25" s="38" t="e">
        <f t="shared" ca="1" si="4"/>
        <v>#NAME?</v>
      </c>
      <c r="W25" s="59" t="e">
        <f t="shared" ca="1" si="4"/>
        <v>#NAME?</v>
      </c>
    </row>
    <row r="26" spans="2:23" x14ac:dyDescent="0.5">
      <c r="B26" s="53" t="s">
        <v>12</v>
      </c>
      <c r="C26" s="89" t="str">
        <f>Data!C26</f>
        <v>EUR</v>
      </c>
      <c r="D26" s="90"/>
      <c r="F26" s="15" t="s">
        <v>8</v>
      </c>
      <c r="G26" s="77" t="s">
        <v>72</v>
      </c>
      <c r="H26" s="26">
        <v>3</v>
      </c>
      <c r="I26" s="49" t="e">
        <f t="shared" ca="1" si="5"/>
        <v>#NAME?</v>
      </c>
      <c r="J26" s="42" t="e">
        <f t="shared" ca="1" si="3"/>
        <v>#NAME?</v>
      </c>
      <c r="K26" s="36" t="e">
        <f t="shared" ca="1" si="6"/>
        <v>#NAME?</v>
      </c>
      <c r="L26" s="36" t="e">
        <f t="shared" ca="1" si="7"/>
        <v>#NAME?</v>
      </c>
      <c r="M26" s="36" t="e">
        <f t="shared" ca="1" si="7"/>
        <v>#NAME?</v>
      </c>
      <c r="N26" s="36" t="e">
        <f t="shared" ca="1" si="7"/>
        <v>#NAME?</v>
      </c>
      <c r="O26" s="36" t="e">
        <f t="shared" ca="1" si="4"/>
        <v>#NAME?</v>
      </c>
      <c r="P26" s="36" t="e">
        <f t="shared" ca="1" si="4"/>
        <v>#NAME?</v>
      </c>
      <c r="Q26" s="36" t="e">
        <f t="shared" ca="1" si="4"/>
        <v>#NAME?</v>
      </c>
      <c r="R26" s="36" t="e">
        <f t="shared" ca="1" si="4"/>
        <v>#NAME?</v>
      </c>
      <c r="S26" s="36" t="e">
        <f t="shared" ca="1" si="4"/>
        <v>#NAME?</v>
      </c>
      <c r="T26" s="36" t="e">
        <f t="shared" ca="1" si="4"/>
        <v>#NAME?</v>
      </c>
      <c r="U26" s="36" t="e">
        <f t="shared" ca="1" si="4"/>
        <v>#NAME?</v>
      </c>
      <c r="V26" s="36" t="e">
        <f t="shared" ca="1" si="4"/>
        <v>#NAME?</v>
      </c>
      <c r="W26" s="58" t="e">
        <f t="shared" ca="1" si="4"/>
        <v>#NAME?</v>
      </c>
    </row>
    <row r="27" spans="2:23" x14ac:dyDescent="0.5">
      <c r="B27" s="53" t="s">
        <v>110</v>
      </c>
      <c r="C27" s="89" t="s">
        <v>113</v>
      </c>
      <c r="D27" s="90"/>
      <c r="F27" s="16" t="s">
        <v>32</v>
      </c>
      <c r="G27" s="78" t="s">
        <v>73</v>
      </c>
      <c r="H27" s="27">
        <v>4</v>
      </c>
      <c r="I27" s="50" t="e">
        <f t="shared" ca="1" si="5"/>
        <v>#NAME?</v>
      </c>
      <c r="J27" s="44" t="e">
        <f t="shared" ca="1" si="3"/>
        <v>#NAME?</v>
      </c>
      <c r="K27" s="38" t="e">
        <f t="shared" ca="1" si="6"/>
        <v>#NAME?</v>
      </c>
      <c r="L27" s="38" t="e">
        <f t="shared" ca="1" si="7"/>
        <v>#NAME?</v>
      </c>
      <c r="M27" s="38" t="e">
        <f t="shared" ca="1" si="7"/>
        <v>#NAME?</v>
      </c>
      <c r="N27" s="38" t="e">
        <f t="shared" ca="1" si="7"/>
        <v>#NAME?</v>
      </c>
      <c r="O27" s="38" t="e">
        <f t="shared" ca="1" si="4"/>
        <v>#NAME?</v>
      </c>
      <c r="P27" s="38" t="e">
        <f t="shared" ca="1" si="4"/>
        <v>#NAME?</v>
      </c>
      <c r="Q27" s="38" t="e">
        <f t="shared" ca="1" si="4"/>
        <v>#NAME?</v>
      </c>
      <c r="R27" s="38" t="e">
        <f t="shared" ca="1" si="4"/>
        <v>#NAME?</v>
      </c>
      <c r="S27" s="38" t="e">
        <f t="shared" ca="1" si="4"/>
        <v>#NAME?</v>
      </c>
      <c r="T27" s="38" t="e">
        <f t="shared" ca="1" si="4"/>
        <v>#NAME?</v>
      </c>
      <c r="U27" s="38" t="e">
        <f t="shared" ca="1" si="4"/>
        <v>#NAME?</v>
      </c>
      <c r="V27" s="38" t="e">
        <f t="shared" ca="1" si="4"/>
        <v>#NAME?</v>
      </c>
      <c r="W27" s="59" t="e">
        <f t="shared" ca="1" si="4"/>
        <v>#NAME?</v>
      </c>
    </row>
    <row r="28" spans="2:23" x14ac:dyDescent="0.5">
      <c r="B28" s="22" t="s">
        <v>114</v>
      </c>
      <c r="C28" s="93"/>
      <c r="D28" s="94"/>
      <c r="F28" s="15" t="s">
        <v>35</v>
      </c>
      <c r="G28" s="77" t="s">
        <v>79</v>
      </c>
      <c r="H28" s="26">
        <v>5</v>
      </c>
      <c r="I28" s="49" t="e">
        <f t="shared" ca="1" si="5"/>
        <v>#NAME?</v>
      </c>
      <c r="J28" s="42" t="e">
        <f t="shared" ca="1" si="3"/>
        <v>#NAME?</v>
      </c>
      <c r="K28" s="36" t="e">
        <f t="shared" ca="1" si="6"/>
        <v>#NAME?</v>
      </c>
      <c r="L28" s="36" t="e">
        <f t="shared" ca="1" si="7"/>
        <v>#NAME?</v>
      </c>
      <c r="M28" s="36" t="e">
        <f t="shared" ca="1" si="7"/>
        <v>#NAME?</v>
      </c>
      <c r="N28" s="36" t="e">
        <f t="shared" ca="1" si="7"/>
        <v>#NAME?</v>
      </c>
      <c r="O28" s="36" t="e">
        <f t="shared" ca="1" si="4"/>
        <v>#NAME?</v>
      </c>
      <c r="P28" s="36" t="e">
        <f t="shared" ca="1" si="4"/>
        <v>#NAME?</v>
      </c>
      <c r="Q28" s="36" t="e">
        <f t="shared" ca="1" si="4"/>
        <v>#NAME?</v>
      </c>
      <c r="R28" s="36" t="e">
        <f t="shared" ca="1" si="4"/>
        <v>#NAME?</v>
      </c>
      <c r="S28" s="36" t="e">
        <f t="shared" ca="1" si="4"/>
        <v>#NAME?</v>
      </c>
      <c r="T28" s="36" t="e">
        <f t="shared" ca="1" si="4"/>
        <v>#NAME?</v>
      </c>
      <c r="U28" s="36" t="e">
        <f t="shared" ca="1" si="4"/>
        <v>#NAME?</v>
      </c>
      <c r="V28" s="36" t="e">
        <f t="shared" ca="1" si="4"/>
        <v>#NAME?</v>
      </c>
      <c r="W28" s="58" t="e">
        <f t="shared" ca="1" si="4"/>
        <v>#NAME?</v>
      </c>
    </row>
    <row r="29" spans="2:23" x14ac:dyDescent="0.5">
      <c r="F29" s="16" t="s">
        <v>38</v>
      </c>
      <c r="G29" s="78" t="s">
        <v>80</v>
      </c>
      <c r="H29" s="27">
        <v>6</v>
      </c>
      <c r="I29" s="50" t="e">
        <f t="shared" ca="1" si="5"/>
        <v>#NAME?</v>
      </c>
      <c r="J29" s="44" t="e">
        <f t="shared" ca="1" si="3"/>
        <v>#NAME?</v>
      </c>
      <c r="K29" s="38" t="e">
        <f t="shared" ca="1" si="6"/>
        <v>#NAME?</v>
      </c>
      <c r="L29" s="38" t="e">
        <f t="shared" ca="1" si="7"/>
        <v>#NAME?</v>
      </c>
      <c r="M29" s="38" t="e">
        <f t="shared" ca="1" si="7"/>
        <v>#NAME?</v>
      </c>
      <c r="N29" s="38" t="e">
        <f t="shared" ca="1" si="7"/>
        <v>#NAME?</v>
      </c>
      <c r="O29" s="38" t="e">
        <f t="shared" ca="1" si="4"/>
        <v>#NAME?</v>
      </c>
      <c r="P29" s="38" t="e">
        <f t="shared" ca="1" si="4"/>
        <v>#NAME?</v>
      </c>
      <c r="Q29" s="38" t="e">
        <f t="shared" ca="1" si="4"/>
        <v>#NAME?</v>
      </c>
      <c r="R29" s="38" t="e">
        <f t="shared" ca="1" si="4"/>
        <v>#NAME?</v>
      </c>
      <c r="S29" s="38" t="e">
        <f t="shared" ca="1" si="4"/>
        <v>#NAME?</v>
      </c>
      <c r="T29" s="38" t="e">
        <f t="shared" ca="1" si="4"/>
        <v>#NAME?</v>
      </c>
      <c r="U29" s="38" t="e">
        <f t="shared" ca="1" si="4"/>
        <v>#NAME?</v>
      </c>
      <c r="V29" s="38" t="e">
        <f t="shared" ca="1" si="4"/>
        <v>#NAME?</v>
      </c>
      <c r="W29" s="59" t="e">
        <f t="shared" ca="1" si="4"/>
        <v>#NAME?</v>
      </c>
    </row>
    <row r="30" spans="2:23" x14ac:dyDescent="0.5">
      <c r="F30" s="15" t="s">
        <v>41</v>
      </c>
      <c r="G30" s="77" t="s">
        <v>81</v>
      </c>
      <c r="H30" s="26">
        <v>7</v>
      </c>
      <c r="I30" s="49" t="e">
        <f t="shared" ca="1" si="5"/>
        <v>#NAME?</v>
      </c>
      <c r="J30" s="42" t="e">
        <f t="shared" ca="1" si="3"/>
        <v>#NAME?</v>
      </c>
      <c r="K30" s="36" t="e">
        <f t="shared" ca="1" si="6"/>
        <v>#NAME?</v>
      </c>
      <c r="L30" s="36" t="e">
        <f t="shared" ca="1" si="7"/>
        <v>#NAME?</v>
      </c>
      <c r="M30" s="36" t="e">
        <f t="shared" ca="1" si="7"/>
        <v>#NAME?</v>
      </c>
      <c r="N30" s="36" t="e">
        <f t="shared" ca="1" si="7"/>
        <v>#NAME?</v>
      </c>
      <c r="O30" s="36" t="e">
        <f t="shared" ca="1" si="4"/>
        <v>#NAME?</v>
      </c>
      <c r="P30" s="36" t="e">
        <f t="shared" ca="1" si="4"/>
        <v>#NAME?</v>
      </c>
      <c r="Q30" s="36" t="e">
        <f t="shared" ca="1" si="4"/>
        <v>#NAME?</v>
      </c>
      <c r="R30" s="36" t="e">
        <f t="shared" ca="1" si="4"/>
        <v>#NAME?</v>
      </c>
      <c r="S30" s="36" t="e">
        <f t="shared" ca="1" si="4"/>
        <v>#NAME?</v>
      </c>
      <c r="T30" s="36" t="e">
        <f t="shared" ca="1" si="4"/>
        <v>#NAME?</v>
      </c>
      <c r="U30" s="36" t="e">
        <f t="shared" ca="1" si="4"/>
        <v>#NAME?</v>
      </c>
      <c r="V30" s="36" t="e">
        <f t="shared" ca="1" si="4"/>
        <v>#NAME?</v>
      </c>
      <c r="W30" s="58" t="e">
        <f t="shared" ca="1" si="4"/>
        <v>#NAME?</v>
      </c>
    </row>
    <row r="31" spans="2:23" x14ac:dyDescent="0.5">
      <c r="F31" s="16" t="s">
        <v>44</v>
      </c>
      <c r="G31" s="78" t="s">
        <v>82</v>
      </c>
      <c r="H31" s="27">
        <v>8</v>
      </c>
      <c r="I31" s="50" t="e">
        <f t="shared" ca="1" si="5"/>
        <v>#NAME?</v>
      </c>
      <c r="J31" s="44" t="e">
        <f t="shared" ca="1" si="3"/>
        <v>#NAME?</v>
      </c>
      <c r="K31" s="38" t="e">
        <f t="shared" ca="1" si="6"/>
        <v>#NAME?</v>
      </c>
      <c r="L31" s="38" t="e">
        <f t="shared" ca="1" si="7"/>
        <v>#NAME?</v>
      </c>
      <c r="M31" s="38" t="e">
        <f t="shared" ca="1" si="7"/>
        <v>#NAME?</v>
      </c>
      <c r="N31" s="38" t="e">
        <f t="shared" ca="1" si="7"/>
        <v>#NAME?</v>
      </c>
      <c r="O31" s="38" t="e">
        <f t="shared" ca="1" si="4"/>
        <v>#NAME?</v>
      </c>
      <c r="P31" s="38" t="e">
        <f t="shared" ca="1" si="4"/>
        <v>#NAME?</v>
      </c>
      <c r="Q31" s="38" t="e">
        <f t="shared" ca="1" si="4"/>
        <v>#NAME?</v>
      </c>
      <c r="R31" s="38" t="e">
        <f t="shared" ca="1" si="4"/>
        <v>#NAME?</v>
      </c>
      <c r="S31" s="38" t="e">
        <f t="shared" ca="1" si="4"/>
        <v>#NAME?</v>
      </c>
      <c r="T31" s="38" t="e">
        <f t="shared" ca="1" si="4"/>
        <v>#NAME?</v>
      </c>
      <c r="U31" s="38" t="e">
        <f t="shared" ca="1" si="4"/>
        <v>#NAME?</v>
      </c>
      <c r="V31" s="38" t="e">
        <f t="shared" ca="1" si="4"/>
        <v>#NAME?</v>
      </c>
      <c r="W31" s="59" t="e">
        <f t="shared" ca="1" si="4"/>
        <v>#NAME?</v>
      </c>
    </row>
    <row r="32" spans="2:23" x14ac:dyDescent="0.5">
      <c r="F32" s="15" t="s">
        <v>47</v>
      </c>
      <c r="G32" s="77" t="s">
        <v>83</v>
      </c>
      <c r="H32" s="26">
        <v>9</v>
      </c>
      <c r="I32" s="49" t="e">
        <f t="shared" ca="1" si="5"/>
        <v>#NAME?</v>
      </c>
      <c r="J32" s="42" t="e">
        <f t="shared" ca="1" si="3"/>
        <v>#NAME?</v>
      </c>
      <c r="K32" s="36" t="e">
        <f t="shared" ca="1" si="6"/>
        <v>#NAME?</v>
      </c>
      <c r="L32" s="36" t="e">
        <f t="shared" ca="1" si="7"/>
        <v>#NAME?</v>
      </c>
      <c r="M32" s="36" t="e">
        <f t="shared" ca="1" si="7"/>
        <v>#NAME?</v>
      </c>
      <c r="N32" s="36" t="e">
        <f t="shared" ca="1" si="7"/>
        <v>#NAME?</v>
      </c>
      <c r="O32" s="36" t="e">
        <f t="shared" ca="1" si="4"/>
        <v>#NAME?</v>
      </c>
      <c r="P32" s="36" t="e">
        <f t="shared" ca="1" si="4"/>
        <v>#NAME?</v>
      </c>
      <c r="Q32" s="36" t="e">
        <f t="shared" ca="1" si="4"/>
        <v>#NAME?</v>
      </c>
      <c r="R32" s="36" t="e">
        <f t="shared" ca="1" si="4"/>
        <v>#NAME?</v>
      </c>
      <c r="S32" s="36" t="e">
        <f t="shared" ca="1" si="4"/>
        <v>#NAME?</v>
      </c>
      <c r="T32" s="36" t="e">
        <f t="shared" ca="1" si="4"/>
        <v>#NAME?</v>
      </c>
      <c r="U32" s="36" t="e">
        <f t="shared" ca="1" si="4"/>
        <v>#NAME?</v>
      </c>
      <c r="V32" s="36" t="e">
        <f t="shared" ca="1" si="4"/>
        <v>#NAME?</v>
      </c>
      <c r="W32" s="58" t="e">
        <f t="shared" ca="1" si="4"/>
        <v>#NAME?</v>
      </c>
    </row>
    <row r="33" spans="2:23" x14ac:dyDescent="0.5">
      <c r="F33" s="16" t="s">
        <v>50</v>
      </c>
      <c r="G33" s="78" t="s">
        <v>84</v>
      </c>
      <c r="H33" s="27"/>
      <c r="I33" s="50" t="e">
        <f t="shared" ca="1" si="5"/>
        <v>#NAME?</v>
      </c>
      <c r="J33" s="44" t="e">
        <f t="shared" ca="1" si="3"/>
        <v>#NAME?</v>
      </c>
      <c r="K33" s="38" t="e">
        <f t="shared" ca="1" si="6"/>
        <v>#NAME?</v>
      </c>
      <c r="L33" s="38" t="e">
        <f t="shared" ca="1" si="7"/>
        <v>#NAME?</v>
      </c>
      <c r="M33" s="38" t="e">
        <f t="shared" ca="1" si="7"/>
        <v>#NAME?</v>
      </c>
      <c r="N33" s="38" t="e">
        <f t="shared" ca="1" si="7"/>
        <v>#NAME?</v>
      </c>
      <c r="O33" s="38" t="e">
        <f t="shared" ref="O33:W38" ca="1" si="8">BDP($C$23&amp;O$22&amp;$G33&amp;" "&amp;$C$25&amp;" Curncy",$Y$2)</f>
        <v>#NAME?</v>
      </c>
      <c r="P33" s="38" t="e">
        <f t="shared" ca="1" si="8"/>
        <v>#NAME?</v>
      </c>
      <c r="Q33" s="38" t="e">
        <f t="shared" ca="1" si="8"/>
        <v>#NAME?</v>
      </c>
      <c r="R33" s="38" t="e">
        <f t="shared" ca="1" si="8"/>
        <v>#NAME?</v>
      </c>
      <c r="S33" s="38" t="e">
        <f t="shared" ca="1" si="8"/>
        <v>#NAME?</v>
      </c>
      <c r="T33" s="38" t="e">
        <f t="shared" ca="1" si="8"/>
        <v>#NAME?</v>
      </c>
      <c r="U33" s="38" t="e">
        <f t="shared" ca="1" si="8"/>
        <v>#NAME?</v>
      </c>
      <c r="V33" s="38" t="e">
        <f t="shared" ca="1" si="8"/>
        <v>#NAME?</v>
      </c>
      <c r="W33" s="59" t="e">
        <f t="shared" ca="1" si="8"/>
        <v>#NAME?</v>
      </c>
    </row>
    <row r="34" spans="2:23" x14ac:dyDescent="0.5">
      <c r="F34" s="15" t="s">
        <v>104</v>
      </c>
      <c r="G34" s="77" t="s">
        <v>85</v>
      </c>
      <c r="H34" s="26"/>
      <c r="I34" s="49" t="e">
        <f t="shared" ca="1" si="5"/>
        <v>#NAME?</v>
      </c>
      <c r="J34" s="42" t="e">
        <f t="shared" ca="1" si="3"/>
        <v>#NAME?</v>
      </c>
      <c r="K34" s="36" t="e">
        <f t="shared" ca="1" si="6"/>
        <v>#NAME?</v>
      </c>
      <c r="L34" s="36" t="e">
        <f t="shared" ca="1" si="7"/>
        <v>#NAME?</v>
      </c>
      <c r="M34" s="36" t="e">
        <f t="shared" ca="1" si="7"/>
        <v>#NAME?</v>
      </c>
      <c r="N34" s="36" t="e">
        <f t="shared" ca="1" si="7"/>
        <v>#NAME?</v>
      </c>
      <c r="O34" s="36" t="e">
        <f t="shared" ca="1" si="8"/>
        <v>#NAME?</v>
      </c>
      <c r="P34" s="36" t="e">
        <f t="shared" ca="1" si="8"/>
        <v>#NAME?</v>
      </c>
      <c r="Q34" s="36" t="e">
        <f t="shared" ca="1" si="8"/>
        <v>#NAME?</v>
      </c>
      <c r="R34" s="36" t="e">
        <f t="shared" ca="1" si="8"/>
        <v>#NAME?</v>
      </c>
      <c r="S34" s="36" t="e">
        <f t="shared" ca="1" si="8"/>
        <v>#NAME?</v>
      </c>
      <c r="T34" s="36" t="e">
        <f t="shared" ca="1" si="8"/>
        <v>#NAME?</v>
      </c>
      <c r="U34" s="36" t="e">
        <f t="shared" ca="1" si="8"/>
        <v>#NAME?</v>
      </c>
      <c r="V34" s="36" t="e">
        <f t="shared" ca="1" si="8"/>
        <v>#NAME?</v>
      </c>
      <c r="W34" s="58" t="e">
        <f t="shared" ca="1" si="8"/>
        <v>#NAME?</v>
      </c>
    </row>
    <row r="35" spans="2:23" x14ac:dyDescent="0.5">
      <c r="F35" s="16" t="s">
        <v>105</v>
      </c>
      <c r="G35" s="78" t="s">
        <v>86</v>
      </c>
      <c r="H35" s="27"/>
      <c r="I35" s="50" t="e">
        <f t="shared" ca="1" si="5"/>
        <v>#NAME?</v>
      </c>
      <c r="J35" s="44" t="e">
        <f t="shared" ca="1" si="3"/>
        <v>#NAME?</v>
      </c>
      <c r="K35" s="38" t="e">
        <f t="shared" ca="1" si="6"/>
        <v>#NAME?</v>
      </c>
      <c r="L35" s="38" t="e">
        <f t="shared" ca="1" si="7"/>
        <v>#NAME?</v>
      </c>
      <c r="M35" s="38" t="e">
        <f t="shared" ca="1" si="7"/>
        <v>#NAME?</v>
      </c>
      <c r="N35" s="38" t="e">
        <f t="shared" ca="1" si="7"/>
        <v>#NAME?</v>
      </c>
      <c r="O35" s="38" t="e">
        <f t="shared" ca="1" si="8"/>
        <v>#NAME?</v>
      </c>
      <c r="P35" s="38" t="e">
        <f t="shared" ca="1" si="8"/>
        <v>#NAME?</v>
      </c>
      <c r="Q35" s="38" t="e">
        <f t="shared" ca="1" si="8"/>
        <v>#NAME?</v>
      </c>
      <c r="R35" s="38" t="e">
        <f t="shared" ca="1" si="8"/>
        <v>#NAME?</v>
      </c>
      <c r="S35" s="38" t="e">
        <f t="shared" ca="1" si="8"/>
        <v>#NAME?</v>
      </c>
      <c r="T35" s="38" t="e">
        <f t="shared" ca="1" si="8"/>
        <v>#NAME?</v>
      </c>
      <c r="U35" s="38" t="e">
        <f t="shared" ca="1" si="8"/>
        <v>#NAME?</v>
      </c>
      <c r="V35" s="38" t="e">
        <f t="shared" ca="1" si="8"/>
        <v>#NAME?</v>
      </c>
      <c r="W35" s="59" t="e">
        <f t="shared" ca="1" si="8"/>
        <v>#NAME?</v>
      </c>
    </row>
    <row r="36" spans="2:23" x14ac:dyDescent="0.5">
      <c r="F36" s="15" t="s">
        <v>106</v>
      </c>
      <c r="G36" s="77" t="s">
        <v>87</v>
      </c>
      <c r="H36" s="26"/>
      <c r="I36" s="49" t="e">
        <f t="shared" ca="1" si="5"/>
        <v>#NAME?</v>
      </c>
      <c r="J36" s="42" t="e">
        <f t="shared" ca="1" si="3"/>
        <v>#NAME?</v>
      </c>
      <c r="K36" s="36" t="e">
        <f t="shared" ca="1" si="6"/>
        <v>#NAME?</v>
      </c>
      <c r="L36" s="36" t="e">
        <f t="shared" ca="1" si="7"/>
        <v>#NAME?</v>
      </c>
      <c r="M36" s="36" t="e">
        <f t="shared" ca="1" si="7"/>
        <v>#NAME?</v>
      </c>
      <c r="N36" s="36" t="e">
        <f t="shared" ca="1" si="7"/>
        <v>#NAME?</v>
      </c>
      <c r="O36" s="36" t="e">
        <f t="shared" ca="1" si="8"/>
        <v>#NAME?</v>
      </c>
      <c r="P36" s="36" t="e">
        <f t="shared" ca="1" si="8"/>
        <v>#NAME?</v>
      </c>
      <c r="Q36" s="36" t="e">
        <f t="shared" ca="1" si="8"/>
        <v>#NAME?</v>
      </c>
      <c r="R36" s="36" t="e">
        <f t="shared" ca="1" si="8"/>
        <v>#NAME?</v>
      </c>
      <c r="S36" s="36" t="e">
        <f t="shared" ca="1" si="8"/>
        <v>#NAME?</v>
      </c>
      <c r="T36" s="36" t="e">
        <f t="shared" ca="1" si="8"/>
        <v>#NAME?</v>
      </c>
      <c r="U36" s="36" t="e">
        <f t="shared" ca="1" si="8"/>
        <v>#NAME?</v>
      </c>
      <c r="V36" s="36" t="e">
        <f t="shared" ca="1" si="8"/>
        <v>#NAME?</v>
      </c>
      <c r="W36" s="58" t="e">
        <f t="shared" ca="1" si="8"/>
        <v>#NAME?</v>
      </c>
    </row>
    <row r="37" spans="2:23" x14ac:dyDescent="0.5">
      <c r="F37" s="16" t="s">
        <v>107</v>
      </c>
      <c r="G37" s="78" t="s">
        <v>88</v>
      </c>
      <c r="H37" s="27"/>
      <c r="I37" s="50" t="e">
        <f t="shared" ca="1" si="5"/>
        <v>#NAME?</v>
      </c>
      <c r="J37" s="44" t="e">
        <f t="shared" ca="1" si="3"/>
        <v>#NAME?</v>
      </c>
      <c r="K37" s="38" t="e">
        <f t="shared" ca="1" si="6"/>
        <v>#NAME?</v>
      </c>
      <c r="L37" s="38" t="e">
        <f t="shared" ca="1" si="7"/>
        <v>#NAME?</v>
      </c>
      <c r="M37" s="38" t="e">
        <f t="shared" ca="1" si="7"/>
        <v>#NAME?</v>
      </c>
      <c r="N37" s="38" t="e">
        <f t="shared" ca="1" si="7"/>
        <v>#NAME?</v>
      </c>
      <c r="O37" s="38" t="e">
        <f t="shared" ca="1" si="8"/>
        <v>#NAME?</v>
      </c>
      <c r="P37" s="38" t="e">
        <f t="shared" ca="1" si="8"/>
        <v>#NAME?</v>
      </c>
      <c r="Q37" s="38" t="e">
        <f t="shared" ca="1" si="8"/>
        <v>#NAME?</v>
      </c>
      <c r="R37" s="38" t="e">
        <f t="shared" ca="1" si="8"/>
        <v>#NAME?</v>
      </c>
      <c r="S37" s="38" t="e">
        <f t="shared" ca="1" si="8"/>
        <v>#NAME?</v>
      </c>
      <c r="T37" s="38" t="e">
        <f t="shared" ca="1" si="8"/>
        <v>#NAME?</v>
      </c>
      <c r="U37" s="38" t="e">
        <f t="shared" ca="1" si="8"/>
        <v>#NAME?</v>
      </c>
      <c r="V37" s="38" t="e">
        <f t="shared" ca="1" si="8"/>
        <v>#NAME?</v>
      </c>
      <c r="W37" s="59" t="e">
        <f t="shared" ca="1" si="8"/>
        <v>#NAME?</v>
      </c>
    </row>
    <row r="38" spans="2:23" x14ac:dyDescent="0.5">
      <c r="F38" s="17" t="s">
        <v>108</v>
      </c>
      <c r="G38" s="79" t="s">
        <v>89</v>
      </c>
      <c r="H38" s="28"/>
      <c r="I38" s="51" t="e">
        <f t="shared" ca="1" si="5"/>
        <v>#NAME?</v>
      </c>
      <c r="J38" s="46" t="e">
        <f t="shared" ca="1" si="3"/>
        <v>#NAME?</v>
      </c>
      <c r="K38" s="39" t="e">
        <f t="shared" ca="1" si="6"/>
        <v>#NAME?</v>
      </c>
      <c r="L38" s="39" t="e">
        <f t="shared" ca="1" si="7"/>
        <v>#NAME?</v>
      </c>
      <c r="M38" s="39" t="e">
        <f t="shared" ca="1" si="7"/>
        <v>#NAME?</v>
      </c>
      <c r="N38" s="39" t="e">
        <f t="shared" ca="1" si="7"/>
        <v>#NAME?</v>
      </c>
      <c r="O38" s="39" t="e">
        <f t="shared" ca="1" si="8"/>
        <v>#NAME?</v>
      </c>
      <c r="P38" s="39" t="e">
        <f t="shared" ca="1" si="8"/>
        <v>#NAME?</v>
      </c>
      <c r="Q38" s="39" t="e">
        <f t="shared" ca="1" si="8"/>
        <v>#NAME?</v>
      </c>
      <c r="R38" s="39" t="e">
        <f t="shared" ca="1" si="8"/>
        <v>#NAME?</v>
      </c>
      <c r="S38" s="39" t="e">
        <f t="shared" ca="1" si="8"/>
        <v>#NAME?</v>
      </c>
      <c r="T38" s="39" t="e">
        <f t="shared" ca="1" si="8"/>
        <v>#NAME?</v>
      </c>
      <c r="U38" s="39" t="e">
        <f t="shared" ca="1" si="8"/>
        <v>#NAME?</v>
      </c>
      <c r="V38" s="39" t="e">
        <f t="shared" ca="1" si="8"/>
        <v>#NAME?</v>
      </c>
      <c r="W38" s="60" t="e">
        <f t="shared" ca="1" si="8"/>
        <v>#NAME?</v>
      </c>
    </row>
    <row r="40" spans="2:23" x14ac:dyDescent="0.5">
      <c r="F40" s="13" t="s">
        <v>0</v>
      </c>
      <c r="G40" s="74"/>
      <c r="H40" s="24"/>
      <c r="I40" s="18" t="s">
        <v>6</v>
      </c>
      <c r="J40" s="4" t="s">
        <v>7</v>
      </c>
      <c r="K40" s="5" t="s">
        <v>8</v>
      </c>
      <c r="L40" s="4" t="s">
        <v>32</v>
      </c>
      <c r="M40" s="5" t="s">
        <v>35</v>
      </c>
      <c r="N40" s="4" t="s">
        <v>38</v>
      </c>
      <c r="O40" s="5" t="s">
        <v>41</v>
      </c>
      <c r="P40" s="4" t="s">
        <v>44</v>
      </c>
      <c r="Q40" s="5" t="s">
        <v>47</v>
      </c>
      <c r="R40" s="4" t="s">
        <v>50</v>
      </c>
      <c r="S40" s="5" t="s">
        <v>105</v>
      </c>
      <c r="T40" s="5" t="s">
        <v>106</v>
      </c>
      <c r="U40" s="5" t="s">
        <v>107</v>
      </c>
      <c r="V40" s="68" t="s">
        <v>108</v>
      </c>
    </row>
    <row r="41" spans="2:23" hidden="1" x14ac:dyDescent="0.5">
      <c r="F41" s="29"/>
      <c r="G41" s="75"/>
      <c r="H41" s="30"/>
      <c r="I41" s="66" t="s">
        <v>69</v>
      </c>
      <c r="J41" s="67" t="s">
        <v>71</v>
      </c>
      <c r="K41" s="57" t="s">
        <v>72</v>
      </c>
      <c r="L41" s="67" t="s">
        <v>73</v>
      </c>
      <c r="M41" s="57" t="s">
        <v>79</v>
      </c>
      <c r="N41" s="67" t="s">
        <v>80</v>
      </c>
      <c r="O41" s="57" t="s">
        <v>81</v>
      </c>
      <c r="P41" s="67" t="s">
        <v>82</v>
      </c>
      <c r="Q41" s="57" t="s">
        <v>83</v>
      </c>
      <c r="R41" s="67" t="s">
        <v>84</v>
      </c>
      <c r="S41" s="33">
        <v>15</v>
      </c>
      <c r="T41" s="33">
        <v>20</v>
      </c>
      <c r="U41" s="33">
        <v>25</v>
      </c>
      <c r="V41" s="69">
        <v>30</v>
      </c>
    </row>
    <row r="42" spans="2:23" x14ac:dyDescent="0.5">
      <c r="B42" s="73" t="s">
        <v>124</v>
      </c>
      <c r="F42" s="14" t="s">
        <v>1</v>
      </c>
      <c r="G42" s="76" t="s">
        <v>100</v>
      </c>
      <c r="H42" s="25"/>
      <c r="I42" s="48" t="e">
        <f t="shared" ref="I42:V51" ca="1" si="9">BDP($C$43&amp;$G42&amp;I$41&amp;" "&amp;$C$44&amp;" Curncy",$Y$2)</f>
        <v>#NAME?</v>
      </c>
      <c r="J42" s="35" t="e">
        <f t="shared" ca="1" si="9"/>
        <v>#NAME?</v>
      </c>
      <c r="K42" s="35" t="e">
        <f t="shared" ca="1" si="9"/>
        <v>#NAME?</v>
      </c>
      <c r="L42" s="35" t="e">
        <f t="shared" ca="1" si="9"/>
        <v>#NAME?</v>
      </c>
      <c r="M42" s="35" t="e">
        <f t="shared" ca="1" si="9"/>
        <v>#NAME?</v>
      </c>
      <c r="N42" s="35" t="e">
        <f t="shared" ca="1" si="9"/>
        <v>#NAME?</v>
      </c>
      <c r="O42" s="35" t="e">
        <f t="shared" ca="1" si="9"/>
        <v>#NAME?</v>
      </c>
      <c r="P42" s="35" t="e">
        <f t="shared" ca="1" si="9"/>
        <v>#NAME?</v>
      </c>
      <c r="Q42" s="35" t="e">
        <f t="shared" ca="1" si="9"/>
        <v>#NAME?</v>
      </c>
      <c r="R42" s="35" t="e">
        <f t="shared" ca="1" si="9"/>
        <v>#NAME?</v>
      </c>
      <c r="S42" s="35" t="e">
        <f t="shared" ca="1" si="9"/>
        <v>#NAME?</v>
      </c>
      <c r="T42" s="35" t="e">
        <f t="shared" ca="1" si="9"/>
        <v>#NAME?</v>
      </c>
      <c r="U42" s="35" t="e">
        <f t="shared" ca="1" si="9"/>
        <v>#NAME?</v>
      </c>
      <c r="V42" s="37" t="e">
        <f t="shared" ca="1" si="9"/>
        <v>#NAME?</v>
      </c>
    </row>
    <row r="43" spans="2:23" x14ac:dyDescent="0.5">
      <c r="B43" s="52" t="s">
        <v>9</v>
      </c>
      <c r="C43" s="85" t="str">
        <f>Data!C43</f>
        <v>EUSB</v>
      </c>
      <c r="D43" s="86"/>
      <c r="F43" s="15" t="s">
        <v>2</v>
      </c>
      <c r="G43" s="77" t="s">
        <v>101</v>
      </c>
      <c r="H43" s="26"/>
      <c r="I43" s="49" t="e">
        <f t="shared" ca="1" si="9"/>
        <v>#NAME?</v>
      </c>
      <c r="J43" s="36" t="e">
        <f t="shared" ca="1" si="9"/>
        <v>#NAME?</v>
      </c>
      <c r="K43" s="36" t="e">
        <f t="shared" ca="1" si="9"/>
        <v>#NAME?</v>
      </c>
      <c r="L43" s="36" t="e">
        <f t="shared" ca="1" si="9"/>
        <v>#NAME?</v>
      </c>
      <c r="M43" s="36" t="e">
        <f t="shared" ca="1" si="9"/>
        <v>#NAME?</v>
      </c>
      <c r="N43" s="36" t="e">
        <f t="shared" ca="1" si="9"/>
        <v>#NAME?</v>
      </c>
      <c r="O43" s="36" t="e">
        <f t="shared" ca="1" si="9"/>
        <v>#NAME?</v>
      </c>
      <c r="P43" s="36" t="e">
        <f t="shared" ca="1" si="9"/>
        <v>#NAME?</v>
      </c>
      <c r="Q43" s="36" t="e">
        <f t="shared" ca="1" si="9"/>
        <v>#NAME?</v>
      </c>
      <c r="R43" s="36" t="e">
        <f t="shared" ca="1" si="9"/>
        <v>#NAME?</v>
      </c>
      <c r="S43" s="36" t="e">
        <f t="shared" ca="1" si="9"/>
        <v>#NAME?</v>
      </c>
      <c r="T43" s="36" t="e">
        <f t="shared" ca="1" si="9"/>
        <v>#NAME?</v>
      </c>
      <c r="U43" s="36" t="e">
        <f t="shared" ca="1" si="9"/>
        <v>#NAME?</v>
      </c>
      <c r="V43" s="58" t="e">
        <f t="shared" ca="1" si="9"/>
        <v>#NAME?</v>
      </c>
    </row>
    <row r="44" spans="2:23" x14ac:dyDescent="0.5">
      <c r="B44" s="55" t="s">
        <v>11</v>
      </c>
      <c r="C44" s="85" t="str">
        <f>Data!C44</f>
        <v>ICPL</v>
      </c>
      <c r="D44" s="86"/>
      <c r="F44" s="16" t="s">
        <v>3</v>
      </c>
      <c r="G44" s="78" t="s">
        <v>122</v>
      </c>
      <c r="H44" s="27"/>
      <c r="I44" s="50" t="e">
        <f t="shared" ca="1" si="9"/>
        <v>#NAME?</v>
      </c>
      <c r="J44" s="38" t="e">
        <f t="shared" ca="1" si="9"/>
        <v>#NAME?</v>
      </c>
      <c r="K44" s="38" t="e">
        <f t="shared" ca="1" si="9"/>
        <v>#NAME?</v>
      </c>
      <c r="L44" s="38" t="e">
        <f t="shared" ca="1" si="9"/>
        <v>#NAME?</v>
      </c>
      <c r="M44" s="38" t="e">
        <f t="shared" ca="1" si="9"/>
        <v>#NAME?</v>
      </c>
      <c r="N44" s="38" t="e">
        <f t="shared" ca="1" si="9"/>
        <v>#NAME?</v>
      </c>
      <c r="O44" s="38" t="e">
        <f t="shared" ca="1" si="9"/>
        <v>#NAME?</v>
      </c>
      <c r="P44" s="38" t="e">
        <f t="shared" ca="1" si="9"/>
        <v>#NAME?</v>
      </c>
      <c r="Q44" s="38" t="e">
        <f t="shared" ca="1" si="9"/>
        <v>#NAME?</v>
      </c>
      <c r="R44" s="38" t="e">
        <f t="shared" ca="1" si="9"/>
        <v>#NAME?</v>
      </c>
      <c r="S44" s="38" t="e">
        <f t="shared" ca="1" si="9"/>
        <v>#NAME?</v>
      </c>
      <c r="T44" s="38" t="e">
        <f t="shared" ca="1" si="9"/>
        <v>#NAME?</v>
      </c>
      <c r="U44" s="38" t="e">
        <f t="shared" ca="1" si="9"/>
        <v>#NAME?</v>
      </c>
      <c r="V44" s="59" t="e">
        <f t="shared" ca="1" si="9"/>
        <v>#NAME?</v>
      </c>
    </row>
    <row r="45" spans="2:23" x14ac:dyDescent="0.5">
      <c r="B45" s="53" t="s">
        <v>12</v>
      </c>
      <c r="C45" s="89" t="str">
        <f>Data!C45</f>
        <v>EUR</v>
      </c>
      <c r="D45" s="90"/>
      <c r="F45" s="15" t="s">
        <v>4</v>
      </c>
      <c r="G45" s="77" t="s">
        <v>116</v>
      </c>
      <c r="H45" s="26"/>
      <c r="I45" s="49" t="e">
        <f t="shared" ca="1" si="9"/>
        <v>#NAME?</v>
      </c>
      <c r="J45" s="36" t="e">
        <f t="shared" ca="1" si="9"/>
        <v>#NAME?</v>
      </c>
      <c r="K45" s="36" t="e">
        <f t="shared" ca="1" si="9"/>
        <v>#NAME?</v>
      </c>
      <c r="L45" s="36" t="e">
        <f t="shared" ca="1" si="9"/>
        <v>#NAME?</v>
      </c>
      <c r="M45" s="36" t="e">
        <f t="shared" ca="1" si="9"/>
        <v>#NAME?</v>
      </c>
      <c r="N45" s="36" t="e">
        <f t="shared" ca="1" si="9"/>
        <v>#NAME?</v>
      </c>
      <c r="O45" s="36" t="e">
        <f t="shared" ca="1" si="9"/>
        <v>#NAME?</v>
      </c>
      <c r="P45" s="36" t="e">
        <f t="shared" ca="1" si="9"/>
        <v>#NAME?</v>
      </c>
      <c r="Q45" s="36" t="e">
        <f t="shared" ca="1" si="9"/>
        <v>#NAME?</v>
      </c>
      <c r="R45" s="36" t="e">
        <f t="shared" ca="1" si="9"/>
        <v>#NAME?</v>
      </c>
      <c r="S45" s="36" t="e">
        <f t="shared" ca="1" si="9"/>
        <v>#NAME?</v>
      </c>
      <c r="T45" s="36" t="e">
        <f t="shared" ca="1" si="9"/>
        <v>#NAME?</v>
      </c>
      <c r="U45" s="36" t="e">
        <f t="shared" ca="1" si="9"/>
        <v>#NAME?</v>
      </c>
      <c r="V45" s="58" t="e">
        <f t="shared" ca="1" si="9"/>
        <v>#NAME?</v>
      </c>
    </row>
    <row r="46" spans="2:23" x14ac:dyDescent="0.5">
      <c r="B46" s="53" t="s">
        <v>110</v>
      </c>
      <c r="C46" s="89" t="s">
        <v>111</v>
      </c>
      <c r="D46" s="90"/>
      <c r="F46" s="16" t="s">
        <v>6</v>
      </c>
      <c r="G46" s="78" t="s">
        <v>69</v>
      </c>
      <c r="H46" s="27"/>
      <c r="I46" s="50" t="e">
        <f t="shared" ca="1" si="9"/>
        <v>#NAME?</v>
      </c>
      <c r="J46" s="38" t="e">
        <f t="shared" ca="1" si="9"/>
        <v>#NAME?</v>
      </c>
      <c r="K46" s="38" t="e">
        <f t="shared" ca="1" si="9"/>
        <v>#NAME?</v>
      </c>
      <c r="L46" s="38" t="e">
        <f t="shared" ca="1" si="9"/>
        <v>#NAME?</v>
      </c>
      <c r="M46" s="38" t="e">
        <f t="shared" ca="1" si="9"/>
        <v>#NAME?</v>
      </c>
      <c r="N46" s="38" t="e">
        <f t="shared" ca="1" si="9"/>
        <v>#NAME?</v>
      </c>
      <c r="O46" s="38" t="e">
        <f t="shared" ca="1" si="9"/>
        <v>#NAME?</v>
      </c>
      <c r="P46" s="38" t="e">
        <f t="shared" ca="1" si="9"/>
        <v>#NAME?</v>
      </c>
      <c r="Q46" s="38" t="e">
        <f t="shared" ca="1" si="9"/>
        <v>#NAME?</v>
      </c>
      <c r="R46" s="38" t="e">
        <f t="shared" ca="1" si="9"/>
        <v>#NAME?</v>
      </c>
      <c r="S46" s="38" t="e">
        <f t="shared" ca="1" si="9"/>
        <v>#NAME?</v>
      </c>
      <c r="T46" s="38" t="e">
        <f t="shared" ca="1" si="9"/>
        <v>#NAME?</v>
      </c>
      <c r="U46" s="38" t="e">
        <f t="shared" ca="1" si="9"/>
        <v>#NAME?</v>
      </c>
      <c r="V46" s="59" t="e">
        <f t="shared" ca="1" si="9"/>
        <v>#NAME?</v>
      </c>
    </row>
    <row r="47" spans="2:23" x14ac:dyDescent="0.5">
      <c r="B47" s="22" t="s">
        <v>114</v>
      </c>
      <c r="C47" s="93" t="s">
        <v>127</v>
      </c>
      <c r="D47" s="94"/>
      <c r="F47" s="15" t="s">
        <v>68</v>
      </c>
      <c r="G47" s="77" t="s">
        <v>70</v>
      </c>
      <c r="H47" s="26"/>
      <c r="I47" s="49" t="e">
        <f t="shared" ca="1" si="9"/>
        <v>#NAME?</v>
      </c>
      <c r="J47" s="36" t="e">
        <f t="shared" ca="1" si="9"/>
        <v>#NAME?</v>
      </c>
      <c r="K47" s="36" t="e">
        <f t="shared" ca="1" si="9"/>
        <v>#NAME?</v>
      </c>
      <c r="L47" s="36" t="e">
        <f t="shared" ca="1" si="9"/>
        <v>#NAME?</v>
      </c>
      <c r="M47" s="36" t="e">
        <f t="shared" ca="1" si="9"/>
        <v>#NAME?</v>
      </c>
      <c r="N47" s="36" t="e">
        <f t="shared" ca="1" si="9"/>
        <v>#NAME?</v>
      </c>
      <c r="O47" s="36" t="e">
        <f t="shared" ca="1" si="9"/>
        <v>#NAME?</v>
      </c>
      <c r="P47" s="36" t="e">
        <f t="shared" ca="1" si="9"/>
        <v>#NAME?</v>
      </c>
      <c r="Q47" s="36" t="e">
        <f t="shared" ca="1" si="9"/>
        <v>#NAME?</v>
      </c>
      <c r="R47" s="36" t="e">
        <f t="shared" ca="1" si="9"/>
        <v>#NAME?</v>
      </c>
      <c r="S47" s="36" t="e">
        <f t="shared" ca="1" si="9"/>
        <v>#NAME?</v>
      </c>
      <c r="T47" s="36" t="e">
        <f t="shared" ca="1" si="9"/>
        <v>#NAME?</v>
      </c>
      <c r="U47" s="36" t="e">
        <f t="shared" ca="1" si="9"/>
        <v>#NAME?</v>
      </c>
      <c r="V47" s="58" t="e">
        <f t="shared" ca="1" si="9"/>
        <v>#NAME?</v>
      </c>
    </row>
    <row r="48" spans="2:23" x14ac:dyDescent="0.5">
      <c r="F48" s="16" t="s">
        <v>7</v>
      </c>
      <c r="G48" s="78" t="s">
        <v>71</v>
      </c>
      <c r="H48" s="27"/>
      <c r="I48" s="50" t="e">
        <f t="shared" ca="1" si="9"/>
        <v>#NAME?</v>
      </c>
      <c r="J48" s="38" t="e">
        <f t="shared" ca="1" si="9"/>
        <v>#NAME?</v>
      </c>
      <c r="K48" s="38" t="e">
        <f t="shared" ca="1" si="9"/>
        <v>#NAME?</v>
      </c>
      <c r="L48" s="38" t="e">
        <f t="shared" ca="1" si="9"/>
        <v>#NAME?</v>
      </c>
      <c r="M48" s="38" t="e">
        <f t="shared" ca="1" si="9"/>
        <v>#NAME?</v>
      </c>
      <c r="N48" s="38" t="e">
        <f t="shared" ca="1" si="9"/>
        <v>#NAME?</v>
      </c>
      <c r="O48" s="38" t="e">
        <f t="shared" ca="1" si="9"/>
        <v>#NAME?</v>
      </c>
      <c r="P48" s="38" t="e">
        <f t="shared" ca="1" si="9"/>
        <v>#NAME?</v>
      </c>
      <c r="Q48" s="38" t="e">
        <f t="shared" ca="1" si="9"/>
        <v>#NAME?</v>
      </c>
      <c r="R48" s="38" t="e">
        <f t="shared" ca="1" si="9"/>
        <v>#NAME?</v>
      </c>
      <c r="S48" s="38" t="e">
        <f t="shared" ca="1" si="9"/>
        <v>#NAME?</v>
      </c>
      <c r="T48" s="38" t="e">
        <f t="shared" ca="1" si="9"/>
        <v>#NAME?</v>
      </c>
      <c r="U48" s="38" t="e">
        <f t="shared" ca="1" si="9"/>
        <v>#NAME?</v>
      </c>
      <c r="V48" s="59" t="e">
        <f t="shared" ca="1" si="9"/>
        <v>#NAME?</v>
      </c>
    </row>
    <row r="49" spans="2:22" x14ac:dyDescent="0.5">
      <c r="F49" s="15" t="s">
        <v>8</v>
      </c>
      <c r="G49" s="77" t="s">
        <v>72</v>
      </c>
      <c r="H49" s="26"/>
      <c r="I49" s="49" t="e">
        <f t="shared" ca="1" si="9"/>
        <v>#NAME?</v>
      </c>
      <c r="J49" s="36" t="e">
        <f t="shared" ca="1" si="9"/>
        <v>#NAME?</v>
      </c>
      <c r="K49" s="36" t="e">
        <f t="shared" ca="1" si="9"/>
        <v>#NAME?</v>
      </c>
      <c r="L49" s="36" t="e">
        <f t="shared" ca="1" si="9"/>
        <v>#NAME?</v>
      </c>
      <c r="M49" s="36" t="e">
        <f t="shared" ca="1" si="9"/>
        <v>#NAME?</v>
      </c>
      <c r="N49" s="36" t="e">
        <f t="shared" ca="1" si="9"/>
        <v>#NAME?</v>
      </c>
      <c r="O49" s="36" t="e">
        <f t="shared" ca="1" si="9"/>
        <v>#NAME?</v>
      </c>
      <c r="P49" s="36" t="e">
        <f t="shared" ca="1" si="9"/>
        <v>#NAME?</v>
      </c>
      <c r="Q49" s="36" t="e">
        <f t="shared" ca="1" si="9"/>
        <v>#NAME?</v>
      </c>
      <c r="R49" s="36" t="e">
        <f t="shared" ca="1" si="9"/>
        <v>#NAME?</v>
      </c>
      <c r="S49" s="36" t="e">
        <f t="shared" ca="1" si="9"/>
        <v>#NAME?</v>
      </c>
      <c r="T49" s="36" t="e">
        <f t="shared" ca="1" si="9"/>
        <v>#NAME?</v>
      </c>
      <c r="U49" s="36" t="e">
        <f t="shared" ca="1" si="9"/>
        <v>#NAME?</v>
      </c>
      <c r="V49" s="58" t="e">
        <f t="shared" ca="1" si="9"/>
        <v>#NAME?</v>
      </c>
    </row>
    <row r="50" spans="2:22" x14ac:dyDescent="0.5">
      <c r="F50" s="16" t="s">
        <v>32</v>
      </c>
      <c r="G50" s="78" t="s">
        <v>73</v>
      </c>
      <c r="H50" s="27"/>
      <c r="I50" s="50" t="e">
        <f t="shared" ca="1" si="9"/>
        <v>#NAME?</v>
      </c>
      <c r="J50" s="38" t="e">
        <f t="shared" ca="1" si="9"/>
        <v>#NAME?</v>
      </c>
      <c r="K50" s="38" t="e">
        <f t="shared" ca="1" si="9"/>
        <v>#NAME?</v>
      </c>
      <c r="L50" s="38" t="e">
        <f t="shared" ca="1" si="9"/>
        <v>#NAME?</v>
      </c>
      <c r="M50" s="38" t="e">
        <f t="shared" ca="1" si="9"/>
        <v>#NAME?</v>
      </c>
      <c r="N50" s="38" t="e">
        <f t="shared" ca="1" si="9"/>
        <v>#NAME?</v>
      </c>
      <c r="O50" s="38" t="e">
        <f t="shared" ca="1" si="9"/>
        <v>#NAME?</v>
      </c>
      <c r="P50" s="38" t="e">
        <f t="shared" ca="1" si="9"/>
        <v>#NAME?</v>
      </c>
      <c r="Q50" s="38" t="e">
        <f t="shared" ca="1" si="9"/>
        <v>#NAME?</v>
      </c>
      <c r="R50" s="38" t="e">
        <f t="shared" ca="1" si="9"/>
        <v>#NAME?</v>
      </c>
      <c r="S50" s="38" t="e">
        <f t="shared" ca="1" si="9"/>
        <v>#NAME?</v>
      </c>
      <c r="T50" s="38" t="e">
        <f t="shared" ca="1" si="9"/>
        <v>#NAME?</v>
      </c>
      <c r="U50" s="38" t="e">
        <f t="shared" ca="1" si="9"/>
        <v>#NAME?</v>
      </c>
      <c r="V50" s="59" t="e">
        <f t="shared" ca="1" si="9"/>
        <v>#NAME?</v>
      </c>
    </row>
    <row r="51" spans="2:22" x14ac:dyDescent="0.5">
      <c r="F51" s="15" t="s">
        <v>35</v>
      </c>
      <c r="G51" s="77" t="s">
        <v>79</v>
      </c>
      <c r="H51" s="26"/>
      <c r="I51" s="49" t="e">
        <f t="shared" ca="1" si="9"/>
        <v>#NAME?</v>
      </c>
      <c r="J51" s="36" t="e">
        <f t="shared" ca="1" si="9"/>
        <v>#NAME?</v>
      </c>
      <c r="K51" s="36" t="e">
        <f t="shared" ca="1" si="9"/>
        <v>#NAME?</v>
      </c>
      <c r="L51" s="36" t="e">
        <f t="shared" ca="1" si="9"/>
        <v>#NAME?</v>
      </c>
      <c r="M51" s="36" t="e">
        <f t="shared" ca="1" si="9"/>
        <v>#NAME?</v>
      </c>
      <c r="N51" s="36" t="e">
        <f t="shared" ca="1" si="9"/>
        <v>#NAME?</v>
      </c>
      <c r="O51" s="36" t="e">
        <f t="shared" ca="1" si="9"/>
        <v>#NAME?</v>
      </c>
      <c r="P51" s="36" t="e">
        <f t="shared" ca="1" si="9"/>
        <v>#NAME?</v>
      </c>
      <c r="Q51" s="36" t="e">
        <f t="shared" ca="1" si="9"/>
        <v>#NAME?</v>
      </c>
      <c r="R51" s="36" t="e">
        <f t="shared" ca="1" si="9"/>
        <v>#NAME?</v>
      </c>
      <c r="S51" s="36" t="e">
        <f t="shared" ca="1" si="9"/>
        <v>#NAME?</v>
      </c>
      <c r="T51" s="36" t="e">
        <f t="shared" ca="1" si="9"/>
        <v>#NAME?</v>
      </c>
      <c r="U51" s="36" t="e">
        <f t="shared" ca="1" si="9"/>
        <v>#NAME?</v>
      </c>
      <c r="V51" s="58" t="e">
        <f t="shared" ca="1" si="9"/>
        <v>#NAME?</v>
      </c>
    </row>
    <row r="52" spans="2:22" x14ac:dyDescent="0.5">
      <c r="F52" s="16" t="s">
        <v>41</v>
      </c>
      <c r="G52" s="78" t="s">
        <v>81</v>
      </c>
      <c r="H52" s="27"/>
      <c r="I52" s="50" t="e">
        <f t="shared" ref="I52:V57" ca="1" si="10">BDP($C$43&amp;$G52&amp;I$41&amp;" "&amp;$C$44&amp;" Curncy",$Y$2)</f>
        <v>#NAME?</v>
      </c>
      <c r="J52" s="38" t="e">
        <f t="shared" ca="1" si="10"/>
        <v>#NAME?</v>
      </c>
      <c r="K52" s="38" t="e">
        <f t="shared" ca="1" si="10"/>
        <v>#NAME?</v>
      </c>
      <c r="L52" s="38" t="e">
        <f t="shared" ca="1" si="10"/>
        <v>#NAME?</v>
      </c>
      <c r="M52" s="38" t="e">
        <f t="shared" ca="1" si="10"/>
        <v>#NAME?</v>
      </c>
      <c r="N52" s="38" t="e">
        <f t="shared" ca="1" si="10"/>
        <v>#NAME?</v>
      </c>
      <c r="O52" s="38" t="e">
        <f t="shared" ca="1" si="10"/>
        <v>#NAME?</v>
      </c>
      <c r="P52" s="38" t="e">
        <f t="shared" ca="1" si="10"/>
        <v>#NAME?</v>
      </c>
      <c r="Q52" s="38" t="e">
        <f t="shared" ca="1" si="10"/>
        <v>#NAME?</v>
      </c>
      <c r="R52" s="38" t="e">
        <f t="shared" ca="1" si="10"/>
        <v>#NAME?</v>
      </c>
      <c r="S52" s="38" t="e">
        <f t="shared" ca="1" si="10"/>
        <v>#NAME?</v>
      </c>
      <c r="T52" s="38" t="e">
        <f t="shared" ca="1" si="10"/>
        <v>#NAME?</v>
      </c>
      <c r="U52" s="38" t="e">
        <f t="shared" ca="1" si="10"/>
        <v>#NAME?</v>
      </c>
      <c r="V52" s="59" t="e">
        <f t="shared" ca="1" si="10"/>
        <v>#NAME?</v>
      </c>
    </row>
    <row r="53" spans="2:22" x14ac:dyDescent="0.5">
      <c r="F53" s="15" t="s">
        <v>50</v>
      </c>
      <c r="G53" s="77">
        <v>10</v>
      </c>
      <c r="H53" s="26"/>
      <c r="I53" s="49" t="e">
        <f t="shared" ca="1" si="10"/>
        <v>#NAME?</v>
      </c>
      <c r="J53" s="36" t="e">
        <f t="shared" ca="1" si="10"/>
        <v>#NAME?</v>
      </c>
      <c r="K53" s="36" t="e">
        <f t="shared" ca="1" si="10"/>
        <v>#NAME?</v>
      </c>
      <c r="L53" s="36" t="e">
        <f t="shared" ca="1" si="10"/>
        <v>#NAME?</v>
      </c>
      <c r="M53" s="36" t="e">
        <f t="shared" ca="1" si="10"/>
        <v>#NAME?</v>
      </c>
      <c r="N53" s="36" t="e">
        <f t="shared" ca="1" si="10"/>
        <v>#NAME?</v>
      </c>
      <c r="O53" s="36" t="e">
        <f t="shared" ca="1" si="10"/>
        <v>#NAME?</v>
      </c>
      <c r="P53" s="36" t="e">
        <f t="shared" ca="1" si="10"/>
        <v>#NAME?</v>
      </c>
      <c r="Q53" s="36" t="e">
        <f t="shared" ca="1" si="10"/>
        <v>#NAME?</v>
      </c>
      <c r="R53" s="36" t="e">
        <f t="shared" ca="1" si="10"/>
        <v>#NAME?</v>
      </c>
      <c r="S53" s="36" t="e">
        <f t="shared" ca="1" si="10"/>
        <v>#NAME?</v>
      </c>
      <c r="T53" s="36" t="e">
        <f t="shared" ca="1" si="10"/>
        <v>#NAME?</v>
      </c>
      <c r="U53" s="36" t="e">
        <f t="shared" ca="1" si="10"/>
        <v>#NAME?</v>
      </c>
      <c r="V53" s="58" t="e">
        <f t="shared" ca="1" si="10"/>
        <v>#NAME?</v>
      </c>
    </row>
    <row r="54" spans="2:22" x14ac:dyDescent="0.5">
      <c r="F54" s="16" t="s">
        <v>105</v>
      </c>
      <c r="G54" s="78">
        <v>15</v>
      </c>
      <c r="H54" s="27"/>
      <c r="I54" s="50" t="e">
        <f t="shared" ca="1" si="10"/>
        <v>#NAME?</v>
      </c>
      <c r="J54" s="38" t="e">
        <f t="shared" ca="1" si="10"/>
        <v>#NAME?</v>
      </c>
      <c r="K54" s="38" t="e">
        <f t="shared" ca="1" si="10"/>
        <v>#NAME?</v>
      </c>
      <c r="L54" s="38" t="e">
        <f t="shared" ca="1" si="10"/>
        <v>#NAME?</v>
      </c>
      <c r="M54" s="38" t="e">
        <f t="shared" ca="1" si="10"/>
        <v>#NAME?</v>
      </c>
      <c r="N54" s="38" t="e">
        <f t="shared" ca="1" si="10"/>
        <v>#NAME?</v>
      </c>
      <c r="O54" s="38" t="e">
        <f t="shared" ca="1" si="10"/>
        <v>#NAME?</v>
      </c>
      <c r="P54" s="38" t="e">
        <f t="shared" ca="1" si="10"/>
        <v>#NAME?</v>
      </c>
      <c r="Q54" s="38" t="e">
        <f t="shared" ca="1" si="10"/>
        <v>#NAME?</v>
      </c>
      <c r="R54" s="38" t="e">
        <f t="shared" ca="1" si="10"/>
        <v>#NAME?</v>
      </c>
      <c r="S54" s="38" t="e">
        <f t="shared" ca="1" si="10"/>
        <v>#NAME?</v>
      </c>
      <c r="T54" s="38" t="e">
        <f t="shared" ca="1" si="10"/>
        <v>#NAME?</v>
      </c>
      <c r="U54" s="38" t="e">
        <f t="shared" ca="1" si="10"/>
        <v>#NAME?</v>
      </c>
      <c r="V54" s="59" t="e">
        <f t="shared" ca="1" si="10"/>
        <v>#NAME?</v>
      </c>
    </row>
    <row r="55" spans="2:22" x14ac:dyDescent="0.5">
      <c r="F55" s="15" t="s">
        <v>106</v>
      </c>
      <c r="G55" s="77" t="s">
        <v>87</v>
      </c>
      <c r="H55" s="26"/>
      <c r="I55" s="49" t="e">
        <f t="shared" ca="1" si="10"/>
        <v>#NAME?</v>
      </c>
      <c r="J55" s="36" t="e">
        <f t="shared" ca="1" si="10"/>
        <v>#NAME?</v>
      </c>
      <c r="K55" s="36" t="e">
        <f t="shared" ca="1" si="10"/>
        <v>#NAME?</v>
      </c>
      <c r="L55" s="36" t="e">
        <f t="shared" ca="1" si="10"/>
        <v>#NAME?</v>
      </c>
      <c r="M55" s="36" t="e">
        <f t="shared" ca="1" si="10"/>
        <v>#NAME?</v>
      </c>
      <c r="N55" s="36" t="e">
        <f t="shared" ca="1" si="10"/>
        <v>#NAME?</v>
      </c>
      <c r="O55" s="36" t="e">
        <f t="shared" ca="1" si="10"/>
        <v>#NAME?</v>
      </c>
      <c r="P55" s="36" t="e">
        <f t="shared" ca="1" si="10"/>
        <v>#NAME?</v>
      </c>
      <c r="Q55" s="36" t="e">
        <f t="shared" ca="1" si="10"/>
        <v>#NAME?</v>
      </c>
      <c r="R55" s="36" t="e">
        <f t="shared" ca="1" si="10"/>
        <v>#NAME?</v>
      </c>
      <c r="S55" s="36" t="e">
        <f t="shared" ca="1" si="10"/>
        <v>#NAME?</v>
      </c>
      <c r="T55" s="36" t="e">
        <f t="shared" ca="1" si="10"/>
        <v>#NAME?</v>
      </c>
      <c r="U55" s="36" t="e">
        <f t="shared" ca="1" si="10"/>
        <v>#NAME?</v>
      </c>
      <c r="V55" s="58" t="e">
        <f t="shared" ca="1" si="10"/>
        <v>#NAME?</v>
      </c>
    </row>
    <row r="56" spans="2:22" x14ac:dyDescent="0.5">
      <c r="F56" s="16" t="s">
        <v>107</v>
      </c>
      <c r="G56" s="78" t="s">
        <v>88</v>
      </c>
      <c r="H56" s="27"/>
      <c r="I56" s="50" t="e">
        <f t="shared" ca="1" si="10"/>
        <v>#NAME?</v>
      </c>
      <c r="J56" s="38" t="e">
        <f t="shared" ca="1" si="10"/>
        <v>#NAME?</v>
      </c>
      <c r="K56" s="38" t="e">
        <f t="shared" ca="1" si="10"/>
        <v>#NAME?</v>
      </c>
      <c r="L56" s="38" t="e">
        <f t="shared" ca="1" si="10"/>
        <v>#NAME?</v>
      </c>
      <c r="M56" s="38" t="e">
        <f t="shared" ca="1" si="10"/>
        <v>#NAME?</v>
      </c>
      <c r="N56" s="38" t="e">
        <f t="shared" ca="1" si="10"/>
        <v>#NAME?</v>
      </c>
      <c r="O56" s="38" t="e">
        <f t="shared" ca="1" si="10"/>
        <v>#NAME?</v>
      </c>
      <c r="P56" s="38" t="e">
        <f t="shared" ca="1" si="10"/>
        <v>#NAME?</v>
      </c>
      <c r="Q56" s="38" t="e">
        <f t="shared" ca="1" si="10"/>
        <v>#NAME?</v>
      </c>
      <c r="R56" s="38" t="e">
        <f t="shared" ca="1" si="10"/>
        <v>#NAME?</v>
      </c>
      <c r="S56" s="38" t="e">
        <f t="shared" ca="1" si="10"/>
        <v>#NAME?</v>
      </c>
      <c r="T56" s="38" t="e">
        <f t="shared" ca="1" si="10"/>
        <v>#NAME?</v>
      </c>
      <c r="U56" s="38" t="e">
        <f t="shared" ca="1" si="10"/>
        <v>#NAME?</v>
      </c>
      <c r="V56" s="59" t="e">
        <f t="shared" ca="1" si="10"/>
        <v>#NAME?</v>
      </c>
    </row>
    <row r="57" spans="2:22" x14ac:dyDescent="0.5">
      <c r="F57" s="17" t="s">
        <v>108</v>
      </c>
      <c r="G57" s="79" t="s">
        <v>89</v>
      </c>
      <c r="H57" s="28"/>
      <c r="I57" s="51" t="e">
        <f t="shared" ca="1" si="10"/>
        <v>#NAME?</v>
      </c>
      <c r="J57" s="39" t="e">
        <f t="shared" ca="1" si="10"/>
        <v>#NAME?</v>
      </c>
      <c r="K57" s="39" t="e">
        <f t="shared" ca="1" si="10"/>
        <v>#NAME?</v>
      </c>
      <c r="L57" s="39" t="e">
        <f t="shared" ca="1" si="10"/>
        <v>#NAME?</v>
      </c>
      <c r="M57" s="39" t="e">
        <f t="shared" ca="1" si="10"/>
        <v>#NAME?</v>
      </c>
      <c r="N57" s="39" t="e">
        <f t="shared" ca="1" si="10"/>
        <v>#NAME?</v>
      </c>
      <c r="O57" s="39" t="e">
        <f t="shared" ca="1" si="10"/>
        <v>#NAME?</v>
      </c>
      <c r="P57" s="39" t="e">
        <f t="shared" ca="1" si="10"/>
        <v>#NAME?</v>
      </c>
      <c r="Q57" s="39" t="e">
        <f t="shared" ca="1" si="10"/>
        <v>#NAME?</v>
      </c>
      <c r="R57" s="39" t="e">
        <f t="shared" ca="1" si="10"/>
        <v>#NAME?</v>
      </c>
      <c r="S57" s="39" t="e">
        <f t="shared" ca="1" si="10"/>
        <v>#NAME?</v>
      </c>
      <c r="T57" s="39" t="e">
        <f t="shared" ca="1" si="10"/>
        <v>#NAME?</v>
      </c>
      <c r="U57" s="39" t="e">
        <f t="shared" ca="1" si="10"/>
        <v>#NAME?</v>
      </c>
      <c r="V57" s="60" t="e">
        <f t="shared" ca="1" si="10"/>
        <v>#NAME?</v>
      </c>
    </row>
    <row r="59" spans="2:22" x14ac:dyDescent="0.5">
      <c r="F59" s="13" t="s">
        <v>0</v>
      </c>
      <c r="G59" s="74"/>
      <c r="H59" s="24"/>
      <c r="I59" s="18" t="s">
        <v>6</v>
      </c>
      <c r="J59" s="4" t="s">
        <v>7</v>
      </c>
      <c r="K59" s="5" t="s">
        <v>8</v>
      </c>
      <c r="L59" s="4" t="s">
        <v>32</v>
      </c>
      <c r="M59" s="5" t="s">
        <v>35</v>
      </c>
      <c r="N59" s="4" t="s">
        <v>38</v>
      </c>
      <c r="O59" s="5" t="s">
        <v>41</v>
      </c>
      <c r="P59" s="4" t="s">
        <v>44</v>
      </c>
      <c r="Q59" s="5" t="s">
        <v>47</v>
      </c>
      <c r="R59" s="4" t="s">
        <v>50</v>
      </c>
      <c r="S59" s="5" t="s">
        <v>105</v>
      </c>
      <c r="T59" s="5" t="s">
        <v>106</v>
      </c>
      <c r="U59" s="5" t="s">
        <v>107</v>
      </c>
      <c r="V59" s="68" t="s">
        <v>108</v>
      </c>
    </row>
    <row r="60" spans="2:22" hidden="1" x14ac:dyDescent="0.5">
      <c r="F60" s="29"/>
      <c r="G60" s="75"/>
      <c r="H60" s="30"/>
      <c r="I60" s="66" t="s">
        <v>69</v>
      </c>
      <c r="J60" s="67" t="s">
        <v>71</v>
      </c>
      <c r="K60" s="57" t="s">
        <v>72</v>
      </c>
      <c r="L60" s="67" t="s">
        <v>73</v>
      </c>
      <c r="M60" s="57" t="s">
        <v>79</v>
      </c>
      <c r="N60" s="67" t="s">
        <v>80</v>
      </c>
      <c r="O60" s="57" t="s">
        <v>81</v>
      </c>
      <c r="P60" s="67" t="s">
        <v>82</v>
      </c>
      <c r="Q60" s="57" t="s">
        <v>83</v>
      </c>
      <c r="R60" s="67" t="s">
        <v>84</v>
      </c>
      <c r="S60" s="33">
        <v>15</v>
      </c>
      <c r="T60" s="33">
        <v>20</v>
      </c>
      <c r="U60" s="33">
        <v>25</v>
      </c>
      <c r="V60" s="69">
        <v>30</v>
      </c>
    </row>
    <row r="61" spans="2:22" x14ac:dyDescent="0.5">
      <c r="B61" s="73" t="s">
        <v>126</v>
      </c>
      <c r="F61" s="14" t="s">
        <v>1</v>
      </c>
      <c r="G61" s="76" t="s">
        <v>100</v>
      </c>
      <c r="H61" s="25"/>
      <c r="I61" s="48" t="e">
        <f t="shared" ref="I61:V70" ca="1" si="11">BDP($C$62&amp;$G61&amp;I$60&amp;" "&amp;$C$63&amp;" Curncy",$Y$2)</f>
        <v>#NAME?</v>
      </c>
      <c r="J61" s="41" t="e">
        <f t="shared" ca="1" si="11"/>
        <v>#NAME?</v>
      </c>
      <c r="K61" s="41" t="e">
        <f t="shared" ca="1" si="11"/>
        <v>#NAME?</v>
      </c>
      <c r="L61" s="41" t="e">
        <f t="shared" ca="1" si="11"/>
        <v>#NAME?</v>
      </c>
      <c r="M61" s="41" t="e">
        <f t="shared" ca="1" si="11"/>
        <v>#NAME?</v>
      </c>
      <c r="N61" s="41" t="e">
        <f t="shared" ca="1" si="11"/>
        <v>#NAME?</v>
      </c>
      <c r="O61" s="41" t="e">
        <f t="shared" ca="1" si="11"/>
        <v>#NAME?</v>
      </c>
      <c r="P61" s="41" t="e">
        <f t="shared" ca="1" si="11"/>
        <v>#NAME?</v>
      </c>
      <c r="Q61" s="41" t="e">
        <f t="shared" ca="1" si="11"/>
        <v>#NAME?</v>
      </c>
      <c r="R61" s="41" t="e">
        <f t="shared" ca="1" si="11"/>
        <v>#NAME?</v>
      </c>
      <c r="S61" s="41" t="e">
        <f t="shared" ca="1" si="11"/>
        <v>#NAME?</v>
      </c>
      <c r="T61" s="41" t="e">
        <f t="shared" ca="1" si="11"/>
        <v>#NAME?</v>
      </c>
      <c r="U61" s="41" t="e">
        <f t="shared" ca="1" si="11"/>
        <v>#NAME?</v>
      </c>
      <c r="V61" s="44" t="e">
        <f t="shared" ca="1" si="11"/>
        <v>#NAME?</v>
      </c>
    </row>
    <row r="62" spans="2:22" x14ac:dyDescent="0.5">
      <c r="B62" s="52" t="s">
        <v>9</v>
      </c>
      <c r="C62" s="85" t="str">
        <f>Data!C62</f>
        <v>EUZS</v>
      </c>
      <c r="D62" s="86"/>
      <c r="F62" s="15" t="s">
        <v>2</v>
      </c>
      <c r="G62" s="77" t="s">
        <v>101</v>
      </c>
      <c r="H62" s="26"/>
      <c r="I62" s="49" t="e">
        <f t="shared" ca="1" si="11"/>
        <v>#NAME?</v>
      </c>
      <c r="J62" s="43" t="e">
        <f t="shared" ca="1" si="11"/>
        <v>#NAME?</v>
      </c>
      <c r="K62" s="43" t="e">
        <f t="shared" ca="1" si="11"/>
        <v>#NAME?</v>
      </c>
      <c r="L62" s="43" t="e">
        <f t="shared" ca="1" si="11"/>
        <v>#NAME?</v>
      </c>
      <c r="M62" s="43" t="e">
        <f t="shared" ca="1" si="11"/>
        <v>#NAME?</v>
      </c>
      <c r="N62" s="43" t="e">
        <f t="shared" ca="1" si="11"/>
        <v>#NAME?</v>
      </c>
      <c r="O62" s="43" t="e">
        <f t="shared" ca="1" si="11"/>
        <v>#NAME?</v>
      </c>
      <c r="P62" s="43" t="e">
        <f t="shared" ca="1" si="11"/>
        <v>#NAME?</v>
      </c>
      <c r="Q62" s="43" t="e">
        <f t="shared" ca="1" si="11"/>
        <v>#NAME?</v>
      </c>
      <c r="R62" s="43" t="e">
        <f t="shared" ca="1" si="11"/>
        <v>#NAME?</v>
      </c>
      <c r="S62" s="43" t="e">
        <f t="shared" ca="1" si="11"/>
        <v>#NAME?</v>
      </c>
      <c r="T62" s="43" t="e">
        <f t="shared" ca="1" si="11"/>
        <v>#NAME?</v>
      </c>
      <c r="U62" s="43" t="e">
        <f t="shared" ca="1" si="11"/>
        <v>#NAME?</v>
      </c>
      <c r="V62" s="70" t="e">
        <f t="shared" ca="1" si="11"/>
        <v>#NAME?</v>
      </c>
    </row>
    <row r="63" spans="2:22" x14ac:dyDescent="0.5">
      <c r="B63" s="55" t="s">
        <v>11</v>
      </c>
      <c r="C63" s="85" t="str">
        <f>Data!C63</f>
        <v>ICPL</v>
      </c>
      <c r="D63" s="86"/>
      <c r="F63" s="16" t="s">
        <v>3</v>
      </c>
      <c r="G63" s="78" t="s">
        <v>122</v>
      </c>
      <c r="H63" s="27"/>
      <c r="I63" s="50" t="e">
        <f t="shared" ca="1" si="11"/>
        <v>#NAME?</v>
      </c>
      <c r="J63" s="45" t="e">
        <f t="shared" ca="1" si="11"/>
        <v>#NAME?</v>
      </c>
      <c r="K63" s="45" t="e">
        <f t="shared" ca="1" si="11"/>
        <v>#NAME?</v>
      </c>
      <c r="L63" s="45" t="e">
        <f t="shared" ca="1" si="11"/>
        <v>#NAME?</v>
      </c>
      <c r="M63" s="45" t="e">
        <f t="shared" ca="1" si="11"/>
        <v>#NAME?</v>
      </c>
      <c r="N63" s="45" t="e">
        <f t="shared" ca="1" si="11"/>
        <v>#NAME?</v>
      </c>
      <c r="O63" s="45" t="e">
        <f t="shared" ca="1" si="11"/>
        <v>#NAME?</v>
      </c>
      <c r="P63" s="45" t="e">
        <f t="shared" ca="1" si="11"/>
        <v>#NAME?</v>
      </c>
      <c r="Q63" s="45" t="e">
        <f t="shared" ca="1" si="11"/>
        <v>#NAME?</v>
      </c>
      <c r="R63" s="45" t="e">
        <f t="shared" ca="1" si="11"/>
        <v>#NAME?</v>
      </c>
      <c r="S63" s="45" t="e">
        <f t="shared" ca="1" si="11"/>
        <v>#NAME?</v>
      </c>
      <c r="T63" s="45" t="e">
        <f t="shared" ca="1" si="11"/>
        <v>#NAME?</v>
      </c>
      <c r="U63" s="45" t="e">
        <f t="shared" ca="1" si="11"/>
        <v>#NAME?</v>
      </c>
      <c r="V63" s="71" t="e">
        <f t="shared" ca="1" si="11"/>
        <v>#NAME?</v>
      </c>
    </row>
    <row r="64" spans="2:22" x14ac:dyDescent="0.5">
      <c r="B64" s="53" t="s">
        <v>12</v>
      </c>
      <c r="C64" s="89" t="str">
        <f>Data!C64</f>
        <v>EUR</v>
      </c>
      <c r="D64" s="90"/>
      <c r="F64" s="15" t="s">
        <v>4</v>
      </c>
      <c r="G64" s="77" t="s">
        <v>116</v>
      </c>
      <c r="H64" s="26"/>
      <c r="I64" s="49" t="e">
        <f t="shared" ca="1" si="11"/>
        <v>#NAME?</v>
      </c>
      <c r="J64" s="43" t="e">
        <f t="shared" ca="1" si="11"/>
        <v>#NAME?</v>
      </c>
      <c r="K64" s="43" t="e">
        <f t="shared" ca="1" si="11"/>
        <v>#NAME?</v>
      </c>
      <c r="L64" s="43" t="e">
        <f t="shared" ca="1" si="11"/>
        <v>#NAME?</v>
      </c>
      <c r="M64" s="43" t="e">
        <f t="shared" ca="1" si="11"/>
        <v>#NAME?</v>
      </c>
      <c r="N64" s="43" t="e">
        <f t="shared" ca="1" si="11"/>
        <v>#NAME?</v>
      </c>
      <c r="O64" s="43" t="e">
        <f t="shared" ca="1" si="11"/>
        <v>#NAME?</v>
      </c>
      <c r="P64" s="43" t="e">
        <f t="shared" ca="1" si="11"/>
        <v>#NAME?</v>
      </c>
      <c r="Q64" s="43" t="e">
        <f t="shared" ca="1" si="11"/>
        <v>#NAME?</v>
      </c>
      <c r="R64" s="43" t="e">
        <f t="shared" ca="1" si="11"/>
        <v>#NAME?</v>
      </c>
      <c r="S64" s="43" t="e">
        <f t="shared" ca="1" si="11"/>
        <v>#NAME?</v>
      </c>
      <c r="T64" s="43" t="e">
        <f t="shared" ca="1" si="11"/>
        <v>#NAME?</v>
      </c>
      <c r="U64" s="43" t="e">
        <f t="shared" ca="1" si="11"/>
        <v>#NAME?</v>
      </c>
      <c r="V64" s="70" t="e">
        <f t="shared" ca="1" si="11"/>
        <v>#NAME?</v>
      </c>
    </row>
    <row r="65" spans="2:22" x14ac:dyDescent="0.5">
      <c r="B65" s="53"/>
      <c r="C65" s="89"/>
      <c r="D65" s="90"/>
      <c r="F65" s="16" t="s">
        <v>6</v>
      </c>
      <c r="G65" s="78" t="s">
        <v>69</v>
      </c>
      <c r="H65" s="27"/>
      <c r="I65" s="50" t="e">
        <f t="shared" ca="1" si="11"/>
        <v>#NAME?</v>
      </c>
      <c r="J65" s="45" t="e">
        <f t="shared" ca="1" si="11"/>
        <v>#NAME?</v>
      </c>
      <c r="K65" s="45" t="e">
        <f t="shared" ca="1" si="11"/>
        <v>#NAME?</v>
      </c>
      <c r="L65" s="45" t="e">
        <f t="shared" ca="1" si="11"/>
        <v>#NAME?</v>
      </c>
      <c r="M65" s="45" t="e">
        <f t="shared" ca="1" si="11"/>
        <v>#NAME?</v>
      </c>
      <c r="N65" s="45" t="e">
        <f t="shared" ca="1" si="11"/>
        <v>#NAME?</v>
      </c>
      <c r="O65" s="45" t="e">
        <f t="shared" ca="1" si="11"/>
        <v>#NAME?</v>
      </c>
      <c r="P65" s="45" t="e">
        <f t="shared" ca="1" si="11"/>
        <v>#NAME?</v>
      </c>
      <c r="Q65" s="45" t="e">
        <f t="shared" ca="1" si="11"/>
        <v>#NAME?</v>
      </c>
      <c r="R65" s="45" t="e">
        <f t="shared" ca="1" si="11"/>
        <v>#NAME?</v>
      </c>
      <c r="S65" s="45" t="e">
        <f t="shared" ca="1" si="11"/>
        <v>#NAME?</v>
      </c>
      <c r="T65" s="45" t="e">
        <f t="shared" ca="1" si="11"/>
        <v>#NAME?</v>
      </c>
      <c r="U65" s="45" t="e">
        <f t="shared" ca="1" si="11"/>
        <v>#NAME?</v>
      </c>
      <c r="V65" s="71" t="e">
        <f t="shared" ca="1" si="11"/>
        <v>#NAME?</v>
      </c>
    </row>
    <row r="66" spans="2:22" x14ac:dyDescent="0.5">
      <c r="B66" s="22"/>
      <c r="C66" s="83"/>
      <c r="D66" s="84"/>
      <c r="F66" s="15" t="s">
        <v>68</v>
      </c>
      <c r="G66" s="77" t="s">
        <v>70</v>
      </c>
      <c r="H66" s="26"/>
      <c r="I66" s="49" t="e">
        <f t="shared" ca="1" si="11"/>
        <v>#NAME?</v>
      </c>
      <c r="J66" s="43" t="e">
        <f t="shared" ca="1" si="11"/>
        <v>#NAME?</v>
      </c>
      <c r="K66" s="43" t="e">
        <f t="shared" ca="1" si="11"/>
        <v>#NAME?</v>
      </c>
      <c r="L66" s="43" t="e">
        <f t="shared" ca="1" si="11"/>
        <v>#NAME?</v>
      </c>
      <c r="M66" s="43" t="e">
        <f t="shared" ca="1" si="11"/>
        <v>#NAME?</v>
      </c>
      <c r="N66" s="43" t="e">
        <f t="shared" ca="1" si="11"/>
        <v>#NAME?</v>
      </c>
      <c r="O66" s="43" t="e">
        <f t="shared" ca="1" si="11"/>
        <v>#NAME?</v>
      </c>
      <c r="P66" s="43" t="e">
        <f t="shared" ca="1" si="11"/>
        <v>#NAME?</v>
      </c>
      <c r="Q66" s="43" t="e">
        <f t="shared" ca="1" si="11"/>
        <v>#NAME?</v>
      </c>
      <c r="R66" s="43" t="e">
        <f t="shared" ca="1" si="11"/>
        <v>#NAME?</v>
      </c>
      <c r="S66" s="43" t="e">
        <f t="shared" ca="1" si="11"/>
        <v>#NAME?</v>
      </c>
      <c r="T66" s="43" t="e">
        <f t="shared" ca="1" si="11"/>
        <v>#NAME?</v>
      </c>
      <c r="U66" s="43" t="e">
        <f t="shared" ca="1" si="11"/>
        <v>#NAME?</v>
      </c>
      <c r="V66" s="70" t="e">
        <f t="shared" ca="1" si="11"/>
        <v>#NAME?</v>
      </c>
    </row>
    <row r="67" spans="2:22" x14ac:dyDescent="0.5">
      <c r="F67" s="16" t="s">
        <v>7</v>
      </c>
      <c r="G67" s="78" t="s">
        <v>71</v>
      </c>
      <c r="H67" s="27"/>
      <c r="I67" s="50" t="e">
        <f t="shared" ca="1" si="11"/>
        <v>#NAME?</v>
      </c>
      <c r="J67" s="45" t="e">
        <f t="shared" ca="1" si="11"/>
        <v>#NAME?</v>
      </c>
      <c r="K67" s="45" t="e">
        <f t="shared" ca="1" si="11"/>
        <v>#NAME?</v>
      </c>
      <c r="L67" s="45" t="e">
        <f t="shared" ca="1" si="11"/>
        <v>#NAME?</v>
      </c>
      <c r="M67" s="45" t="e">
        <f t="shared" ca="1" si="11"/>
        <v>#NAME?</v>
      </c>
      <c r="N67" s="45" t="e">
        <f t="shared" ca="1" si="11"/>
        <v>#NAME?</v>
      </c>
      <c r="O67" s="45" t="e">
        <f t="shared" ca="1" si="11"/>
        <v>#NAME?</v>
      </c>
      <c r="P67" s="45" t="e">
        <f t="shared" ca="1" si="11"/>
        <v>#NAME?</v>
      </c>
      <c r="Q67" s="45" t="e">
        <f t="shared" ca="1" si="11"/>
        <v>#NAME?</v>
      </c>
      <c r="R67" s="45" t="e">
        <f t="shared" ca="1" si="11"/>
        <v>#NAME?</v>
      </c>
      <c r="S67" s="45" t="e">
        <f t="shared" ca="1" si="11"/>
        <v>#NAME?</v>
      </c>
      <c r="T67" s="45" t="e">
        <f t="shared" ca="1" si="11"/>
        <v>#NAME?</v>
      </c>
      <c r="U67" s="45" t="e">
        <f t="shared" ca="1" si="11"/>
        <v>#NAME?</v>
      </c>
      <c r="V67" s="71" t="e">
        <f t="shared" ca="1" si="11"/>
        <v>#NAME?</v>
      </c>
    </row>
    <row r="68" spans="2:22" x14ac:dyDescent="0.5">
      <c r="F68" s="15" t="s">
        <v>8</v>
      </c>
      <c r="G68" s="77" t="s">
        <v>72</v>
      </c>
      <c r="H68" s="26"/>
      <c r="I68" s="49" t="e">
        <f t="shared" ca="1" si="11"/>
        <v>#NAME?</v>
      </c>
      <c r="J68" s="43" t="e">
        <f t="shared" ca="1" si="11"/>
        <v>#NAME?</v>
      </c>
      <c r="K68" s="43" t="e">
        <f t="shared" ca="1" si="11"/>
        <v>#NAME?</v>
      </c>
      <c r="L68" s="43" t="e">
        <f t="shared" ca="1" si="11"/>
        <v>#NAME?</v>
      </c>
      <c r="M68" s="43" t="e">
        <f t="shared" ca="1" si="11"/>
        <v>#NAME?</v>
      </c>
      <c r="N68" s="43" t="e">
        <f t="shared" ca="1" si="11"/>
        <v>#NAME?</v>
      </c>
      <c r="O68" s="43" t="e">
        <f t="shared" ca="1" si="11"/>
        <v>#NAME?</v>
      </c>
      <c r="P68" s="43" t="e">
        <f t="shared" ca="1" si="11"/>
        <v>#NAME?</v>
      </c>
      <c r="Q68" s="43" t="e">
        <f t="shared" ca="1" si="11"/>
        <v>#NAME?</v>
      </c>
      <c r="R68" s="43" t="e">
        <f t="shared" ca="1" si="11"/>
        <v>#NAME?</v>
      </c>
      <c r="S68" s="43" t="e">
        <f t="shared" ca="1" si="11"/>
        <v>#NAME?</v>
      </c>
      <c r="T68" s="43" t="e">
        <f t="shared" ca="1" si="11"/>
        <v>#NAME?</v>
      </c>
      <c r="U68" s="43" t="e">
        <f t="shared" ca="1" si="11"/>
        <v>#NAME?</v>
      </c>
      <c r="V68" s="70" t="e">
        <f t="shared" ca="1" si="11"/>
        <v>#NAME?</v>
      </c>
    </row>
    <row r="69" spans="2:22" x14ac:dyDescent="0.5">
      <c r="F69" s="16" t="s">
        <v>32</v>
      </c>
      <c r="G69" s="78" t="s">
        <v>73</v>
      </c>
      <c r="H69" s="27"/>
      <c r="I69" s="50" t="e">
        <f t="shared" ca="1" si="11"/>
        <v>#NAME?</v>
      </c>
      <c r="J69" s="45" t="e">
        <f t="shared" ca="1" si="11"/>
        <v>#NAME?</v>
      </c>
      <c r="K69" s="45" t="e">
        <f t="shared" ca="1" si="11"/>
        <v>#NAME?</v>
      </c>
      <c r="L69" s="45" t="e">
        <f t="shared" ca="1" si="11"/>
        <v>#NAME?</v>
      </c>
      <c r="M69" s="45" t="e">
        <f t="shared" ca="1" si="11"/>
        <v>#NAME?</v>
      </c>
      <c r="N69" s="45" t="e">
        <f t="shared" ca="1" si="11"/>
        <v>#NAME?</v>
      </c>
      <c r="O69" s="45" t="e">
        <f t="shared" ca="1" si="11"/>
        <v>#NAME?</v>
      </c>
      <c r="P69" s="45" t="e">
        <f t="shared" ca="1" si="11"/>
        <v>#NAME?</v>
      </c>
      <c r="Q69" s="45" t="e">
        <f t="shared" ca="1" si="11"/>
        <v>#NAME?</v>
      </c>
      <c r="R69" s="45" t="e">
        <f t="shared" ca="1" si="11"/>
        <v>#NAME?</v>
      </c>
      <c r="S69" s="45" t="e">
        <f t="shared" ca="1" si="11"/>
        <v>#NAME?</v>
      </c>
      <c r="T69" s="45" t="e">
        <f t="shared" ca="1" si="11"/>
        <v>#NAME?</v>
      </c>
      <c r="U69" s="45" t="e">
        <f t="shared" ca="1" si="11"/>
        <v>#NAME?</v>
      </c>
      <c r="V69" s="71" t="e">
        <f t="shared" ca="1" si="11"/>
        <v>#NAME?</v>
      </c>
    </row>
    <row r="70" spans="2:22" x14ac:dyDescent="0.5">
      <c r="F70" s="15" t="s">
        <v>35</v>
      </c>
      <c r="G70" s="77" t="s">
        <v>79</v>
      </c>
      <c r="H70" s="26"/>
      <c r="I70" s="49" t="e">
        <f t="shared" ca="1" si="11"/>
        <v>#NAME?</v>
      </c>
      <c r="J70" s="43" t="e">
        <f t="shared" ca="1" si="11"/>
        <v>#NAME?</v>
      </c>
      <c r="K70" s="43" t="e">
        <f t="shared" ca="1" si="11"/>
        <v>#NAME?</v>
      </c>
      <c r="L70" s="43" t="e">
        <f t="shared" ca="1" si="11"/>
        <v>#NAME?</v>
      </c>
      <c r="M70" s="43" t="e">
        <f t="shared" ca="1" si="11"/>
        <v>#NAME?</v>
      </c>
      <c r="N70" s="43" t="e">
        <f t="shared" ca="1" si="11"/>
        <v>#NAME?</v>
      </c>
      <c r="O70" s="43" t="e">
        <f t="shared" ca="1" si="11"/>
        <v>#NAME?</v>
      </c>
      <c r="P70" s="43" t="e">
        <f t="shared" ca="1" si="11"/>
        <v>#NAME?</v>
      </c>
      <c r="Q70" s="43" t="e">
        <f t="shared" ca="1" si="11"/>
        <v>#NAME?</v>
      </c>
      <c r="R70" s="43" t="e">
        <f t="shared" ca="1" si="11"/>
        <v>#NAME?</v>
      </c>
      <c r="S70" s="43" t="e">
        <f t="shared" ca="1" si="11"/>
        <v>#NAME?</v>
      </c>
      <c r="T70" s="43" t="e">
        <f t="shared" ca="1" si="11"/>
        <v>#NAME?</v>
      </c>
      <c r="U70" s="43" t="e">
        <f t="shared" ca="1" si="11"/>
        <v>#NAME?</v>
      </c>
      <c r="V70" s="70" t="e">
        <f t="shared" ca="1" si="11"/>
        <v>#NAME?</v>
      </c>
    </row>
    <row r="71" spans="2:22" x14ac:dyDescent="0.5">
      <c r="F71" s="16" t="s">
        <v>41</v>
      </c>
      <c r="G71" s="78" t="s">
        <v>81</v>
      </c>
      <c r="H71" s="27"/>
      <c r="I71" s="50" t="e">
        <f t="shared" ref="I71:V76" ca="1" si="12">BDP($C$62&amp;$G71&amp;I$60&amp;" "&amp;$C$63&amp;" Curncy",$Y$2)</f>
        <v>#NAME?</v>
      </c>
      <c r="J71" s="45" t="e">
        <f t="shared" ca="1" si="12"/>
        <v>#NAME?</v>
      </c>
      <c r="K71" s="45" t="e">
        <f t="shared" ca="1" si="12"/>
        <v>#NAME?</v>
      </c>
      <c r="L71" s="45" t="e">
        <f t="shared" ca="1" si="12"/>
        <v>#NAME?</v>
      </c>
      <c r="M71" s="45" t="e">
        <f t="shared" ca="1" si="12"/>
        <v>#NAME?</v>
      </c>
      <c r="N71" s="45" t="e">
        <f t="shared" ca="1" si="12"/>
        <v>#NAME?</v>
      </c>
      <c r="O71" s="45" t="e">
        <f t="shared" ca="1" si="12"/>
        <v>#NAME?</v>
      </c>
      <c r="P71" s="45" t="e">
        <f t="shared" ca="1" si="12"/>
        <v>#NAME?</v>
      </c>
      <c r="Q71" s="45" t="e">
        <f t="shared" ca="1" si="12"/>
        <v>#NAME?</v>
      </c>
      <c r="R71" s="45" t="e">
        <f t="shared" ca="1" si="12"/>
        <v>#NAME?</v>
      </c>
      <c r="S71" s="45" t="e">
        <f t="shared" ca="1" si="12"/>
        <v>#NAME?</v>
      </c>
      <c r="T71" s="45" t="e">
        <f t="shared" ca="1" si="12"/>
        <v>#NAME?</v>
      </c>
      <c r="U71" s="45" t="e">
        <f t="shared" ca="1" si="12"/>
        <v>#NAME?</v>
      </c>
      <c r="V71" s="71" t="e">
        <f t="shared" ca="1" si="12"/>
        <v>#NAME?</v>
      </c>
    </row>
    <row r="72" spans="2:22" x14ac:dyDescent="0.5">
      <c r="F72" s="15" t="s">
        <v>50</v>
      </c>
      <c r="G72" s="77">
        <v>10</v>
      </c>
      <c r="H72" s="26"/>
      <c r="I72" s="49" t="e">
        <f t="shared" ca="1" si="12"/>
        <v>#NAME?</v>
      </c>
      <c r="J72" s="43" t="e">
        <f t="shared" ca="1" si="12"/>
        <v>#NAME?</v>
      </c>
      <c r="K72" s="43" t="e">
        <f t="shared" ca="1" si="12"/>
        <v>#NAME?</v>
      </c>
      <c r="L72" s="43" t="e">
        <f t="shared" ca="1" si="12"/>
        <v>#NAME?</v>
      </c>
      <c r="M72" s="43" t="e">
        <f t="shared" ca="1" si="12"/>
        <v>#NAME?</v>
      </c>
      <c r="N72" s="43" t="e">
        <f t="shared" ca="1" si="12"/>
        <v>#NAME?</v>
      </c>
      <c r="O72" s="43" t="e">
        <f t="shared" ca="1" si="12"/>
        <v>#NAME?</v>
      </c>
      <c r="P72" s="43" t="e">
        <f t="shared" ca="1" si="12"/>
        <v>#NAME?</v>
      </c>
      <c r="Q72" s="43" t="e">
        <f t="shared" ca="1" si="12"/>
        <v>#NAME?</v>
      </c>
      <c r="R72" s="43" t="e">
        <f t="shared" ca="1" si="12"/>
        <v>#NAME?</v>
      </c>
      <c r="S72" s="43" t="e">
        <f t="shared" ca="1" si="12"/>
        <v>#NAME?</v>
      </c>
      <c r="T72" s="43" t="e">
        <f t="shared" ca="1" si="12"/>
        <v>#NAME?</v>
      </c>
      <c r="U72" s="43" t="e">
        <f t="shared" ca="1" si="12"/>
        <v>#NAME?</v>
      </c>
      <c r="V72" s="70" t="e">
        <f t="shared" ca="1" si="12"/>
        <v>#NAME?</v>
      </c>
    </row>
    <row r="73" spans="2:22" x14ac:dyDescent="0.5">
      <c r="F73" s="16" t="s">
        <v>105</v>
      </c>
      <c r="G73" s="78">
        <v>15</v>
      </c>
      <c r="H73" s="27"/>
      <c r="I73" s="50" t="e">
        <f t="shared" ca="1" si="12"/>
        <v>#NAME?</v>
      </c>
      <c r="J73" s="45" t="e">
        <f t="shared" ca="1" si="12"/>
        <v>#NAME?</v>
      </c>
      <c r="K73" s="45" t="e">
        <f t="shared" ca="1" si="12"/>
        <v>#NAME?</v>
      </c>
      <c r="L73" s="45" t="e">
        <f t="shared" ca="1" si="12"/>
        <v>#NAME?</v>
      </c>
      <c r="M73" s="45" t="e">
        <f t="shared" ca="1" si="12"/>
        <v>#NAME?</v>
      </c>
      <c r="N73" s="45" t="e">
        <f t="shared" ca="1" si="12"/>
        <v>#NAME?</v>
      </c>
      <c r="O73" s="45" t="e">
        <f t="shared" ca="1" si="12"/>
        <v>#NAME?</v>
      </c>
      <c r="P73" s="45" t="e">
        <f t="shared" ca="1" si="12"/>
        <v>#NAME?</v>
      </c>
      <c r="Q73" s="45" t="e">
        <f t="shared" ca="1" si="12"/>
        <v>#NAME?</v>
      </c>
      <c r="R73" s="45" t="e">
        <f t="shared" ca="1" si="12"/>
        <v>#NAME?</v>
      </c>
      <c r="S73" s="45" t="e">
        <f t="shared" ca="1" si="12"/>
        <v>#NAME?</v>
      </c>
      <c r="T73" s="45" t="e">
        <f t="shared" ca="1" si="12"/>
        <v>#NAME?</v>
      </c>
      <c r="U73" s="45" t="e">
        <f t="shared" ca="1" si="12"/>
        <v>#NAME?</v>
      </c>
      <c r="V73" s="71" t="e">
        <f t="shared" ca="1" si="12"/>
        <v>#NAME?</v>
      </c>
    </row>
    <row r="74" spans="2:22" x14ac:dyDescent="0.5">
      <c r="F74" s="15" t="s">
        <v>106</v>
      </c>
      <c r="G74" s="77" t="s">
        <v>87</v>
      </c>
      <c r="H74" s="26"/>
      <c r="I74" s="49" t="e">
        <f t="shared" ca="1" si="12"/>
        <v>#NAME?</v>
      </c>
      <c r="J74" s="43" t="e">
        <f t="shared" ca="1" si="12"/>
        <v>#NAME?</v>
      </c>
      <c r="K74" s="43" t="e">
        <f t="shared" ca="1" si="12"/>
        <v>#NAME?</v>
      </c>
      <c r="L74" s="43" t="e">
        <f t="shared" ca="1" si="12"/>
        <v>#NAME?</v>
      </c>
      <c r="M74" s="43" t="e">
        <f t="shared" ca="1" si="12"/>
        <v>#NAME?</v>
      </c>
      <c r="N74" s="43" t="e">
        <f t="shared" ca="1" si="12"/>
        <v>#NAME?</v>
      </c>
      <c r="O74" s="43" t="e">
        <f t="shared" ca="1" si="12"/>
        <v>#NAME?</v>
      </c>
      <c r="P74" s="43" t="e">
        <f t="shared" ca="1" si="12"/>
        <v>#NAME?</v>
      </c>
      <c r="Q74" s="43" t="e">
        <f t="shared" ca="1" si="12"/>
        <v>#NAME?</v>
      </c>
      <c r="R74" s="43" t="e">
        <f t="shared" ca="1" si="12"/>
        <v>#NAME?</v>
      </c>
      <c r="S74" s="43" t="e">
        <f t="shared" ca="1" si="12"/>
        <v>#NAME?</v>
      </c>
      <c r="T74" s="43" t="e">
        <f t="shared" ca="1" si="12"/>
        <v>#NAME?</v>
      </c>
      <c r="U74" s="43" t="e">
        <f t="shared" ca="1" si="12"/>
        <v>#NAME?</v>
      </c>
      <c r="V74" s="70" t="e">
        <f t="shared" ca="1" si="12"/>
        <v>#NAME?</v>
      </c>
    </row>
    <row r="75" spans="2:22" x14ac:dyDescent="0.5">
      <c r="F75" s="16" t="s">
        <v>107</v>
      </c>
      <c r="G75" s="78" t="s">
        <v>88</v>
      </c>
      <c r="H75" s="27"/>
      <c r="I75" s="50" t="e">
        <f t="shared" ca="1" si="12"/>
        <v>#NAME?</v>
      </c>
      <c r="J75" s="45" t="e">
        <f t="shared" ca="1" si="12"/>
        <v>#NAME?</v>
      </c>
      <c r="K75" s="45" t="e">
        <f t="shared" ca="1" si="12"/>
        <v>#NAME?</v>
      </c>
      <c r="L75" s="45" t="e">
        <f t="shared" ca="1" si="12"/>
        <v>#NAME?</v>
      </c>
      <c r="M75" s="45" t="e">
        <f t="shared" ca="1" si="12"/>
        <v>#NAME?</v>
      </c>
      <c r="N75" s="45" t="e">
        <f t="shared" ca="1" si="12"/>
        <v>#NAME?</v>
      </c>
      <c r="O75" s="45" t="e">
        <f t="shared" ca="1" si="12"/>
        <v>#NAME?</v>
      </c>
      <c r="P75" s="45" t="e">
        <f t="shared" ca="1" si="12"/>
        <v>#NAME?</v>
      </c>
      <c r="Q75" s="45" t="e">
        <f t="shared" ca="1" si="12"/>
        <v>#NAME?</v>
      </c>
      <c r="R75" s="45" t="e">
        <f t="shared" ca="1" si="12"/>
        <v>#NAME?</v>
      </c>
      <c r="S75" s="45" t="e">
        <f t="shared" ca="1" si="12"/>
        <v>#NAME?</v>
      </c>
      <c r="T75" s="45" t="e">
        <f t="shared" ca="1" si="12"/>
        <v>#NAME?</v>
      </c>
      <c r="U75" s="45" t="e">
        <f t="shared" ca="1" si="12"/>
        <v>#NAME?</v>
      </c>
      <c r="V75" s="71" t="e">
        <f t="shared" ca="1" si="12"/>
        <v>#NAME?</v>
      </c>
    </row>
    <row r="76" spans="2:22" x14ac:dyDescent="0.5">
      <c r="F76" s="17" t="s">
        <v>108</v>
      </c>
      <c r="G76" s="79" t="s">
        <v>89</v>
      </c>
      <c r="H76" s="28"/>
      <c r="I76" s="51" t="e">
        <f t="shared" ca="1" si="12"/>
        <v>#NAME?</v>
      </c>
      <c r="J76" s="47" t="e">
        <f t="shared" ca="1" si="12"/>
        <v>#NAME?</v>
      </c>
      <c r="K76" s="47" t="e">
        <f t="shared" ca="1" si="12"/>
        <v>#NAME?</v>
      </c>
      <c r="L76" s="47" t="e">
        <f t="shared" ca="1" si="12"/>
        <v>#NAME?</v>
      </c>
      <c r="M76" s="47" t="e">
        <f t="shared" ca="1" si="12"/>
        <v>#NAME?</v>
      </c>
      <c r="N76" s="47" t="e">
        <f t="shared" ca="1" si="12"/>
        <v>#NAME?</v>
      </c>
      <c r="O76" s="47" t="e">
        <f t="shared" ca="1" si="12"/>
        <v>#NAME?</v>
      </c>
      <c r="P76" s="47" t="e">
        <f t="shared" ca="1" si="12"/>
        <v>#NAME?</v>
      </c>
      <c r="Q76" s="47" t="e">
        <f t="shared" ca="1" si="12"/>
        <v>#NAME?</v>
      </c>
      <c r="R76" s="47" t="e">
        <f t="shared" ca="1" si="12"/>
        <v>#NAME?</v>
      </c>
      <c r="S76" s="47" t="e">
        <f t="shared" ca="1" si="12"/>
        <v>#NAME?</v>
      </c>
      <c r="T76" s="47" t="e">
        <f t="shared" ca="1" si="12"/>
        <v>#NAME?</v>
      </c>
      <c r="U76" s="47" t="e">
        <f t="shared" ca="1" si="12"/>
        <v>#NAME?</v>
      </c>
      <c r="V76" s="72" t="e">
        <f t="shared" ca="1" si="12"/>
        <v>#NAME?</v>
      </c>
    </row>
    <row r="79" spans="2:22" x14ac:dyDescent="0.5">
      <c r="B79" s="21" t="s">
        <v>17</v>
      </c>
      <c r="C79" s="91" t="s">
        <v>62</v>
      </c>
      <c r="D79" s="92"/>
      <c r="F79" s="11" t="s">
        <v>23</v>
      </c>
      <c r="G79" s="23"/>
      <c r="H79" s="23"/>
      <c r="I79" s="3"/>
      <c r="J79" s="3" t="s">
        <v>63</v>
      </c>
      <c r="K79" s="3"/>
      <c r="L79" s="3"/>
      <c r="M79" s="3" t="s">
        <v>23</v>
      </c>
      <c r="N79" s="3" t="s">
        <v>24</v>
      </c>
      <c r="O79" s="12"/>
    </row>
    <row r="80" spans="2:22" x14ac:dyDescent="0.5">
      <c r="B80" s="20" t="s">
        <v>18</v>
      </c>
      <c r="C80" s="2" t="s">
        <v>19</v>
      </c>
      <c r="D80" s="9">
        <v>2</v>
      </c>
      <c r="F80" s="10" t="s">
        <v>26</v>
      </c>
      <c r="G80" s="10"/>
      <c r="H80" s="10"/>
      <c r="I80" s="1" t="s">
        <v>27</v>
      </c>
      <c r="J80" s="1" t="e">
        <f t="shared" ref="J80:J88" ca="1" si="13">BDP(I80,"PX_LAST")</f>
        <v>#NAME?</v>
      </c>
      <c r="M80" s="10" t="s">
        <v>6</v>
      </c>
      <c r="N80" s="1" t="s">
        <v>25</v>
      </c>
      <c r="O80" s="1" t="e">
        <f t="shared" ref="O80:O94" ca="1" si="14">BDP(N80,$Y$2)</f>
        <v>#NAME?</v>
      </c>
      <c r="Q80" s="1" t="s">
        <v>66</v>
      </c>
      <c r="S80" s="19" t="e">
        <f ca="1">BDP(I80,"LAST_UPDATE_DT")</f>
        <v>#NAME?</v>
      </c>
    </row>
    <row r="81" spans="2:19" x14ac:dyDescent="0.5">
      <c r="B81" s="20" t="s">
        <v>20</v>
      </c>
      <c r="C81" s="87">
        <v>2</v>
      </c>
      <c r="D81" s="88"/>
      <c r="F81" s="10" t="s">
        <v>16</v>
      </c>
      <c r="G81" s="10"/>
      <c r="H81" s="10"/>
      <c r="I81" s="1" t="s">
        <v>29</v>
      </c>
      <c r="J81" s="1" t="e">
        <f t="shared" ca="1" si="13"/>
        <v>#NAME?</v>
      </c>
      <c r="M81" s="10" t="s">
        <v>7</v>
      </c>
      <c r="N81" s="1" t="s">
        <v>28</v>
      </c>
      <c r="O81" s="1" t="e">
        <f t="shared" ca="1" si="14"/>
        <v>#NAME?</v>
      </c>
      <c r="Q81" s="1" t="s">
        <v>67</v>
      </c>
      <c r="S81" s="19" t="e">
        <f ca="1">BDP(I81,"LAST_UPDATE_DT")</f>
        <v>#NAME?</v>
      </c>
    </row>
    <row r="82" spans="2:19" x14ac:dyDescent="0.5">
      <c r="B82" s="20" t="s">
        <v>21</v>
      </c>
      <c r="C82" s="87" t="s">
        <v>22</v>
      </c>
      <c r="D82" s="88"/>
      <c r="F82" s="10" t="s">
        <v>14</v>
      </c>
      <c r="G82" s="10"/>
      <c r="H82" s="10"/>
      <c r="I82" s="1" t="s">
        <v>31</v>
      </c>
      <c r="J82" s="1" t="e">
        <f t="shared" ca="1" si="13"/>
        <v>#NAME?</v>
      </c>
      <c r="K82" s="19"/>
      <c r="M82" s="10" t="s">
        <v>8</v>
      </c>
      <c r="N82" s="1" t="s">
        <v>30</v>
      </c>
      <c r="O82" s="1" t="e">
        <f t="shared" ca="1" si="14"/>
        <v>#NAME?</v>
      </c>
    </row>
    <row r="83" spans="2:19" x14ac:dyDescent="0.5">
      <c r="F83" s="10" t="s">
        <v>1</v>
      </c>
      <c r="G83" s="10"/>
      <c r="H83" s="10"/>
      <c r="I83" s="1" t="s">
        <v>34</v>
      </c>
      <c r="J83" s="1" t="e">
        <f t="shared" ca="1" si="13"/>
        <v>#NAME?</v>
      </c>
      <c r="K83" s="19"/>
      <c r="M83" s="10" t="s">
        <v>32</v>
      </c>
      <c r="N83" s="1" t="s">
        <v>33</v>
      </c>
      <c r="O83" s="1" t="e">
        <f t="shared" ca="1" si="14"/>
        <v>#NAME?</v>
      </c>
    </row>
    <row r="84" spans="2:19" x14ac:dyDescent="0.5">
      <c r="F84" s="10" t="s">
        <v>2</v>
      </c>
      <c r="G84" s="10"/>
      <c r="H84" s="10"/>
      <c r="I84" s="1" t="s">
        <v>37</v>
      </c>
      <c r="J84" s="1" t="e">
        <f t="shared" ca="1" si="13"/>
        <v>#NAME?</v>
      </c>
      <c r="K84" s="19"/>
      <c r="M84" s="10" t="s">
        <v>35</v>
      </c>
      <c r="N84" s="1" t="s">
        <v>36</v>
      </c>
      <c r="O84" s="1" t="e">
        <f t="shared" ca="1" si="14"/>
        <v>#NAME?</v>
      </c>
    </row>
    <row r="85" spans="2:19" x14ac:dyDescent="0.5">
      <c r="F85" s="10" t="s">
        <v>3</v>
      </c>
      <c r="G85" s="10"/>
      <c r="H85" s="10"/>
      <c r="I85" s="1" t="s">
        <v>40</v>
      </c>
      <c r="J85" s="1" t="e">
        <f t="shared" ca="1" si="13"/>
        <v>#NAME?</v>
      </c>
      <c r="K85" s="19"/>
      <c r="M85" s="10" t="s">
        <v>38</v>
      </c>
      <c r="N85" s="1" t="s">
        <v>39</v>
      </c>
      <c r="O85" s="1" t="e">
        <f t="shared" ca="1" si="14"/>
        <v>#NAME?</v>
      </c>
    </row>
    <row r="86" spans="2:19" x14ac:dyDescent="0.5">
      <c r="F86" s="10" t="s">
        <v>4</v>
      </c>
      <c r="G86" s="10"/>
      <c r="H86" s="10"/>
      <c r="I86" s="1" t="s">
        <v>43</v>
      </c>
      <c r="J86" s="1" t="e">
        <f t="shared" ca="1" si="13"/>
        <v>#NAME?</v>
      </c>
      <c r="K86" s="19"/>
      <c r="M86" s="10" t="s">
        <v>41</v>
      </c>
      <c r="N86" s="1" t="s">
        <v>42</v>
      </c>
      <c r="O86" s="1" t="e">
        <f t="shared" ca="1" si="14"/>
        <v>#NAME?</v>
      </c>
    </row>
    <row r="87" spans="2:19" x14ac:dyDescent="0.5">
      <c r="F87" s="10" t="s">
        <v>5</v>
      </c>
      <c r="G87" s="10"/>
      <c r="H87" s="10"/>
      <c r="I87" s="1" t="s">
        <v>46</v>
      </c>
      <c r="J87" s="1" t="e">
        <f t="shared" ca="1" si="13"/>
        <v>#NAME?</v>
      </c>
      <c r="K87" s="19"/>
      <c r="M87" s="10" t="s">
        <v>44</v>
      </c>
      <c r="N87" s="1" t="s">
        <v>45</v>
      </c>
      <c r="O87" s="1" t="e">
        <f t="shared" ca="1" si="14"/>
        <v>#NAME?</v>
      </c>
    </row>
    <row r="88" spans="2:19" x14ac:dyDescent="0.5">
      <c r="F88" s="10" t="s">
        <v>15</v>
      </c>
      <c r="G88" s="10"/>
      <c r="H88" s="10"/>
      <c r="I88" s="1" t="s">
        <v>49</v>
      </c>
      <c r="J88" s="1" t="e">
        <f t="shared" ca="1" si="13"/>
        <v>#NAME?</v>
      </c>
      <c r="K88" s="19"/>
      <c r="M88" s="10" t="s">
        <v>47</v>
      </c>
      <c r="N88" s="1" t="s">
        <v>48</v>
      </c>
      <c r="O88" s="1" t="e">
        <f t="shared" ca="1" si="14"/>
        <v>#NAME?</v>
      </c>
    </row>
    <row r="89" spans="2:19" x14ac:dyDescent="0.5">
      <c r="M89" s="10" t="s">
        <v>50</v>
      </c>
      <c r="N89" s="1" t="s">
        <v>51</v>
      </c>
      <c r="O89" s="1" t="e">
        <f t="shared" ca="1" si="14"/>
        <v>#NAME?</v>
      </c>
    </row>
    <row r="90" spans="2:19" x14ac:dyDescent="0.5">
      <c r="M90" s="10" t="s">
        <v>52</v>
      </c>
      <c r="N90" s="1" t="s">
        <v>53</v>
      </c>
      <c r="O90" s="1" t="e">
        <f t="shared" ca="1" si="14"/>
        <v>#NAME?</v>
      </c>
    </row>
    <row r="91" spans="2:19" x14ac:dyDescent="0.5">
      <c r="M91" s="10" t="s">
        <v>54</v>
      </c>
      <c r="N91" s="1" t="s">
        <v>55</v>
      </c>
      <c r="O91" s="1" t="e">
        <f t="shared" ca="1" si="14"/>
        <v>#NAME?</v>
      </c>
    </row>
    <row r="92" spans="2:19" x14ac:dyDescent="0.5">
      <c r="M92" s="10" t="s">
        <v>56</v>
      </c>
      <c r="N92" s="1" t="s">
        <v>57</v>
      </c>
      <c r="O92" s="1" t="e">
        <f t="shared" ca="1" si="14"/>
        <v>#NAME?</v>
      </c>
    </row>
    <row r="93" spans="2:19" x14ac:dyDescent="0.5">
      <c r="M93" s="10" t="s">
        <v>58</v>
      </c>
      <c r="N93" s="1" t="s">
        <v>59</v>
      </c>
      <c r="O93" s="1" t="e">
        <f t="shared" ca="1" si="14"/>
        <v>#NAME?</v>
      </c>
    </row>
    <row r="94" spans="2:19" x14ac:dyDescent="0.5">
      <c r="M94" s="10" t="s">
        <v>60</v>
      </c>
      <c r="N94" s="1" t="s">
        <v>61</v>
      </c>
      <c r="O94" s="1" t="e">
        <f t="shared" ca="1" si="14"/>
        <v>#NAME?</v>
      </c>
    </row>
  </sheetData>
  <mergeCells count="25">
    <mergeCell ref="C5:D5"/>
    <mergeCell ref="C7:D7"/>
    <mergeCell ref="C6:D6"/>
    <mergeCell ref="C62:D62"/>
    <mergeCell ref="C63:D63"/>
    <mergeCell ref="C43:D43"/>
    <mergeCell ref="C47:D47"/>
    <mergeCell ref="C28:D28"/>
    <mergeCell ref="C8:D8"/>
    <mergeCell ref="C9:D9"/>
    <mergeCell ref="C44:D44"/>
    <mergeCell ref="C45:D45"/>
    <mergeCell ref="C46:D46"/>
    <mergeCell ref="C27:D27"/>
    <mergeCell ref="C22:D22"/>
    <mergeCell ref="C23:D23"/>
    <mergeCell ref="C24:D24"/>
    <mergeCell ref="C25:D25"/>
    <mergeCell ref="C26:D26"/>
    <mergeCell ref="C82:D82"/>
    <mergeCell ref="C79:D79"/>
    <mergeCell ref="C81:D81"/>
    <mergeCell ref="C64:D64"/>
    <mergeCell ref="C65:D65"/>
    <mergeCell ref="C66:D6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BBG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u8998</dc:creator>
  <cp:lastModifiedBy>Matteo Paggiaro</cp:lastModifiedBy>
  <dcterms:created xsi:type="dcterms:W3CDTF">2016-04-01T09:29:57Z</dcterms:created>
  <dcterms:modified xsi:type="dcterms:W3CDTF">2019-06-14T13:38:05Z</dcterms:modified>
</cp:coreProperties>
</file>